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6380" windowHeight="8190" tabRatio="990" activeTab="2"/>
  </bookViews>
  <sheets>
    <sheet name="Chart1" sheetId="4" r:id="rId1"/>
    <sheet name="Sheet1" sheetId="1" r:id="rId2"/>
    <sheet name="Analytic" sheetId="2" r:id="rId3"/>
  </sheets>
  <definedNames>
    <definedName name="lambda">Analytic!$B$1</definedName>
    <definedName name="Mu">Analytic!$B$2</definedName>
    <definedName name="Pb">Analytic!$G$19</definedName>
    <definedName name="Pd">Analytic!$H$19</definedName>
    <definedName name="Theta">Analytic!$B$3</definedName>
  </definedNames>
  <calcPr calcId="144525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H19" i="2" l="1"/>
  <c r="D9" i="2"/>
  <c r="D10" i="2"/>
  <c r="D11" i="2"/>
  <c r="D12" i="2"/>
  <c r="D13" i="2"/>
  <c r="D14" i="2"/>
  <c r="D15" i="2"/>
  <c r="D16" i="2"/>
  <c r="D17" i="2"/>
  <c r="D18" i="2"/>
  <c r="D19" i="2"/>
  <c r="D8" i="2"/>
  <c r="AA3" i="1" l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" i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" i="2"/>
  <c r="F8" i="2" l="1"/>
  <c r="C8" i="2"/>
  <c r="C9" i="2" s="1"/>
  <c r="C10" i="2" s="1"/>
  <c r="E7" i="2"/>
  <c r="C7" i="2"/>
  <c r="E8" i="2" l="1"/>
  <c r="F9" i="2" s="1"/>
  <c r="E9" i="2"/>
  <c r="F10" i="2" s="1"/>
  <c r="E10" i="2"/>
  <c r="F11" i="2" s="1"/>
  <c r="C11" i="2"/>
  <c r="C12" i="2" s="1"/>
  <c r="C13" i="2"/>
  <c r="E12" i="2"/>
  <c r="F13" i="2" s="1"/>
  <c r="E11" i="2"/>
  <c r="F12" i="2" s="1"/>
  <c r="C14" i="2" l="1"/>
  <c r="E13" i="2"/>
  <c r="F14" i="2" s="1"/>
  <c r="C15" i="2" l="1"/>
  <c r="E14" i="2"/>
  <c r="F15" i="2" s="1"/>
  <c r="E15" i="2" l="1"/>
  <c r="F16" i="2" s="1"/>
  <c r="C16" i="2"/>
  <c r="E16" i="2" l="1"/>
  <c r="F17" i="2" s="1"/>
  <c r="C17" i="2"/>
  <c r="C18" i="2" l="1"/>
  <c r="E17" i="2"/>
  <c r="F18" i="2" s="1"/>
  <c r="C19" i="2" l="1"/>
  <c r="E19" i="2" s="1"/>
  <c r="E18" i="2"/>
  <c r="F19" i="2" s="1"/>
  <c r="G7" i="2" s="1"/>
  <c r="G9" i="2" s="1"/>
  <c r="G12" i="2" l="1"/>
  <c r="G13" i="2"/>
  <c r="G10" i="2"/>
  <c r="G8" i="2"/>
  <c r="G11" i="2"/>
  <c r="G14" i="2"/>
  <c r="G15" i="2"/>
  <c r="G16" i="2"/>
  <c r="G17" i="2"/>
  <c r="G18" i="2"/>
  <c r="G19" i="2"/>
</calcChain>
</file>

<file path=xl/sharedStrings.xml><?xml version="1.0" encoding="utf-8"?>
<sst xmlns="http://schemas.openxmlformats.org/spreadsheetml/2006/main" count="1213" uniqueCount="14">
  <si>
    <t>P of blocked</t>
  </si>
  <si>
    <t>P of left</t>
  </si>
  <si>
    <t>Lambda</t>
  </si>
  <si>
    <t>Pd</t>
  </si>
  <si>
    <t>Mu</t>
  </si>
  <si>
    <t>Theta</t>
  </si>
  <si>
    <t>Phi n (Mu)</t>
  </si>
  <si>
    <t>product</t>
  </si>
  <si>
    <t>P</t>
  </si>
  <si>
    <t>SUM</t>
  </si>
  <si>
    <t>Pb Analytic</t>
  </si>
  <si>
    <t>Pd Analytic</t>
  </si>
  <si>
    <t>Pb Sim</t>
  </si>
  <si>
    <t>Pd 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</si>
</sst>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c:style val="2"/>
  <c:chart>
    <c:autoTitleDeleted val="1"/>
    <c:plotArea>
      <c:layout>
        <c:manualLayout>
          <c:layoutTarget val="inner"/>
          <c:xMode val="edge"/>
          <c:yMode val="edge"/>
          <c:x val="0.16285699399742787"/>
          <c:y val="6.2918495467669894E-2"/>
          <c:w val="0.73498867947983193"/>
          <c:h val="0.84196960900428075"/>
        </c:manualLayout>
      </c:layout>
      <c:lineChart>
        <c:grouping val="standard"/>
        <c:varyColors val="1"/>
        <c:ser>
          <c:idx val="0"/>
          <c:order val="0"/>
          <c:tx>
            <c:strRef>
              <c:f>Sheet1!$Y$1</c:f>
              <c:strCache>
                <c:ptCount val="1"/>
                <c:pt idx="0">
                  <c:v>Pb Sim</c:v>
                </c:pt>
              </c:strCache>
            </c:strRef>
          </c:tx>
          <c:spPr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Sheet1!$Y$2:$Y$201</c:f>
              <c:numCache>
                <c:formatCode>0.000000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9.9999999999999995E-7</c:v>
                </c:pt>
                <c:pt idx="11">
                  <c:v>0</c:v>
                </c:pt>
                <c:pt idx="12">
                  <c:v>0</c:v>
                </c:pt>
                <c:pt idx="13">
                  <c:v>3.0000000000000001E-6</c:v>
                </c:pt>
                <c:pt idx="14">
                  <c:v>7.9999999999999996E-6</c:v>
                </c:pt>
                <c:pt idx="15">
                  <c:v>6.0000000000000002E-6</c:v>
                </c:pt>
                <c:pt idx="16">
                  <c:v>7.9999999999999996E-6</c:v>
                </c:pt>
                <c:pt idx="17">
                  <c:v>2.5999999999999998E-5</c:v>
                </c:pt>
                <c:pt idx="18">
                  <c:v>2.5000000000000001E-5</c:v>
                </c:pt>
                <c:pt idx="19">
                  <c:v>5.5999999999999999E-5</c:v>
                </c:pt>
                <c:pt idx="20">
                  <c:v>7.7999999999999999E-5</c:v>
                </c:pt>
                <c:pt idx="21">
                  <c:v>9.1000000000000003E-5</c:v>
                </c:pt>
                <c:pt idx="22">
                  <c:v>1.35E-4</c:v>
                </c:pt>
                <c:pt idx="23">
                  <c:v>2.4600000000000002E-4</c:v>
                </c:pt>
                <c:pt idx="24">
                  <c:v>2.7999999999999998E-4</c:v>
                </c:pt>
                <c:pt idx="25">
                  <c:v>3.4499999999999998E-4</c:v>
                </c:pt>
                <c:pt idx="26">
                  <c:v>3.86E-4</c:v>
                </c:pt>
                <c:pt idx="27">
                  <c:v>5.1800000000000001E-4</c:v>
                </c:pt>
                <c:pt idx="28">
                  <c:v>6.8999999999999997E-4</c:v>
                </c:pt>
                <c:pt idx="29">
                  <c:v>9.5600000000000004E-4</c:v>
                </c:pt>
                <c:pt idx="30">
                  <c:v>9.4799999999999995E-4</c:v>
                </c:pt>
                <c:pt idx="31">
                  <c:v>1.3630000000000001E-3</c:v>
                </c:pt>
                <c:pt idx="32">
                  <c:v>1.534E-3</c:v>
                </c:pt>
                <c:pt idx="33">
                  <c:v>1.7619999999999999E-3</c:v>
                </c:pt>
                <c:pt idx="34">
                  <c:v>2.0669999999999998E-3</c:v>
                </c:pt>
                <c:pt idx="35">
                  <c:v>2.6180000000000001E-3</c:v>
                </c:pt>
                <c:pt idx="36">
                  <c:v>3.1210000000000001E-3</c:v>
                </c:pt>
                <c:pt idx="37">
                  <c:v>3.467E-3</c:v>
                </c:pt>
                <c:pt idx="38">
                  <c:v>4.0790000000000002E-3</c:v>
                </c:pt>
                <c:pt idx="39">
                  <c:v>4.4689999999999999E-3</c:v>
                </c:pt>
                <c:pt idx="40">
                  <c:v>5.4279999999999997E-3</c:v>
                </c:pt>
                <c:pt idx="41">
                  <c:v>6.1960000000000001E-3</c:v>
                </c:pt>
                <c:pt idx="42">
                  <c:v>6.7330000000000003E-3</c:v>
                </c:pt>
                <c:pt idx="43">
                  <c:v>7.5389999999999997E-3</c:v>
                </c:pt>
                <c:pt idx="44">
                  <c:v>8.3029999999999996E-3</c:v>
                </c:pt>
                <c:pt idx="45">
                  <c:v>9.8829999999999994E-3</c:v>
                </c:pt>
                <c:pt idx="46">
                  <c:v>1.0512000000000001E-2</c:v>
                </c:pt>
                <c:pt idx="47">
                  <c:v>1.1837E-2</c:v>
                </c:pt>
                <c:pt idx="48">
                  <c:v>1.3211000000000001E-2</c:v>
                </c:pt>
                <c:pt idx="49">
                  <c:v>1.4540000000000001E-2</c:v>
                </c:pt>
                <c:pt idx="50">
                  <c:v>1.6198000000000001E-2</c:v>
                </c:pt>
                <c:pt idx="51">
                  <c:v>1.7543E-2</c:v>
                </c:pt>
                <c:pt idx="52">
                  <c:v>1.8672999999999999E-2</c:v>
                </c:pt>
                <c:pt idx="53">
                  <c:v>2.0147999999999999E-2</c:v>
                </c:pt>
                <c:pt idx="54">
                  <c:v>2.2055000000000002E-2</c:v>
                </c:pt>
                <c:pt idx="55">
                  <c:v>2.418E-2</c:v>
                </c:pt>
                <c:pt idx="56">
                  <c:v>2.6221999999999999E-2</c:v>
                </c:pt>
                <c:pt idx="57">
                  <c:v>2.7989E-2</c:v>
                </c:pt>
                <c:pt idx="58">
                  <c:v>3.0276000000000001E-2</c:v>
                </c:pt>
                <c:pt idx="59">
                  <c:v>3.2582E-2</c:v>
                </c:pt>
                <c:pt idx="60">
                  <c:v>3.5198E-2</c:v>
                </c:pt>
                <c:pt idx="61">
                  <c:v>3.6963999999999997E-2</c:v>
                </c:pt>
                <c:pt idx="62">
                  <c:v>3.9868000000000001E-2</c:v>
                </c:pt>
                <c:pt idx="63">
                  <c:v>4.1727E-2</c:v>
                </c:pt>
                <c:pt idx="64">
                  <c:v>4.4748999999999997E-2</c:v>
                </c:pt>
                <c:pt idx="65">
                  <c:v>4.6313E-2</c:v>
                </c:pt>
                <c:pt idx="66">
                  <c:v>5.0562000000000003E-2</c:v>
                </c:pt>
                <c:pt idx="67">
                  <c:v>5.2303000000000002E-2</c:v>
                </c:pt>
                <c:pt idx="68">
                  <c:v>5.5218000000000003E-2</c:v>
                </c:pt>
                <c:pt idx="69">
                  <c:v>5.9434000000000001E-2</c:v>
                </c:pt>
                <c:pt idx="70">
                  <c:v>6.1532000000000003E-2</c:v>
                </c:pt>
                <c:pt idx="71">
                  <c:v>6.4404000000000003E-2</c:v>
                </c:pt>
                <c:pt idx="72">
                  <c:v>6.7623000000000003E-2</c:v>
                </c:pt>
                <c:pt idx="73">
                  <c:v>7.0624999999999993E-2</c:v>
                </c:pt>
                <c:pt idx="74">
                  <c:v>7.3916999999999997E-2</c:v>
                </c:pt>
                <c:pt idx="75">
                  <c:v>7.7524999999999997E-2</c:v>
                </c:pt>
                <c:pt idx="76">
                  <c:v>8.0255000000000007E-2</c:v>
                </c:pt>
                <c:pt idx="77">
                  <c:v>8.3478999999999998E-2</c:v>
                </c:pt>
                <c:pt idx="78">
                  <c:v>8.7232000000000004E-2</c:v>
                </c:pt>
                <c:pt idx="79">
                  <c:v>9.0769000000000002E-2</c:v>
                </c:pt>
                <c:pt idx="80">
                  <c:v>9.4863000000000003E-2</c:v>
                </c:pt>
                <c:pt idx="81">
                  <c:v>9.6895999999999996E-2</c:v>
                </c:pt>
                <c:pt idx="82">
                  <c:v>0.100747</c:v>
                </c:pt>
                <c:pt idx="83">
                  <c:v>0.10302600000000001</c:v>
                </c:pt>
                <c:pt idx="84">
                  <c:v>0.108887</c:v>
                </c:pt>
                <c:pt idx="85">
                  <c:v>0.114108</c:v>
                </c:pt>
                <c:pt idx="86">
                  <c:v>0.116036</c:v>
                </c:pt>
                <c:pt idx="87">
                  <c:v>0.119327</c:v>
                </c:pt>
                <c:pt idx="88">
                  <c:v>0.124419</c:v>
                </c:pt>
                <c:pt idx="89">
                  <c:v>0.12673999999999999</c:v>
                </c:pt>
                <c:pt idx="90">
                  <c:v>0.13105</c:v>
                </c:pt>
                <c:pt idx="91">
                  <c:v>0.13578699999999999</c:v>
                </c:pt>
                <c:pt idx="92">
                  <c:v>0.136818</c:v>
                </c:pt>
                <c:pt idx="93">
                  <c:v>0.14081399999999999</c:v>
                </c:pt>
                <c:pt idx="94">
                  <c:v>0.14555799999999999</c:v>
                </c:pt>
                <c:pt idx="95">
                  <c:v>0.148426</c:v>
                </c:pt>
                <c:pt idx="96">
                  <c:v>0.154247</c:v>
                </c:pt>
                <c:pt idx="97">
                  <c:v>0.15781200000000001</c:v>
                </c:pt>
                <c:pt idx="98">
                  <c:v>0.160246</c:v>
                </c:pt>
                <c:pt idx="99">
                  <c:v>0.167019</c:v>
                </c:pt>
                <c:pt idx="100">
                  <c:v>0.17085600000000001</c:v>
                </c:pt>
                <c:pt idx="101">
                  <c:v>0.17361699999999999</c:v>
                </c:pt>
                <c:pt idx="102">
                  <c:v>0.17704</c:v>
                </c:pt>
                <c:pt idx="103">
                  <c:v>0.18187400000000001</c:v>
                </c:pt>
                <c:pt idx="104">
                  <c:v>0.18513299999999999</c:v>
                </c:pt>
                <c:pt idx="105">
                  <c:v>0.18923499999999999</c:v>
                </c:pt>
                <c:pt idx="106">
                  <c:v>0.19314300000000001</c:v>
                </c:pt>
                <c:pt idx="107">
                  <c:v>0.195881</c:v>
                </c:pt>
                <c:pt idx="108">
                  <c:v>0.198578</c:v>
                </c:pt>
                <c:pt idx="109">
                  <c:v>0.203346</c:v>
                </c:pt>
                <c:pt idx="110">
                  <c:v>0.208403</c:v>
                </c:pt>
                <c:pt idx="111">
                  <c:v>0.21029300000000001</c:v>
                </c:pt>
                <c:pt idx="112">
                  <c:v>0.21398200000000001</c:v>
                </c:pt>
                <c:pt idx="113">
                  <c:v>0.218364</c:v>
                </c:pt>
                <c:pt idx="114">
                  <c:v>0.22107099999999999</c:v>
                </c:pt>
                <c:pt idx="115">
                  <c:v>0.22592499999999999</c:v>
                </c:pt>
                <c:pt idx="116">
                  <c:v>0.23013900000000001</c:v>
                </c:pt>
                <c:pt idx="117">
                  <c:v>0.23375099999999999</c:v>
                </c:pt>
                <c:pt idx="118">
                  <c:v>0.235737</c:v>
                </c:pt>
                <c:pt idx="119">
                  <c:v>0.24310699999999999</c:v>
                </c:pt>
                <c:pt idx="120">
                  <c:v>0.24476000000000001</c:v>
                </c:pt>
                <c:pt idx="121">
                  <c:v>0.24793100000000001</c:v>
                </c:pt>
                <c:pt idx="122">
                  <c:v>0.25211</c:v>
                </c:pt>
                <c:pt idx="123">
                  <c:v>0.25744</c:v>
                </c:pt>
                <c:pt idx="124">
                  <c:v>0.25877600000000001</c:v>
                </c:pt>
                <c:pt idx="125">
                  <c:v>0.26449499999999998</c:v>
                </c:pt>
                <c:pt idx="126">
                  <c:v>0.267569</c:v>
                </c:pt>
                <c:pt idx="127">
                  <c:v>0.26977800000000002</c:v>
                </c:pt>
                <c:pt idx="128">
                  <c:v>0.27240700000000001</c:v>
                </c:pt>
                <c:pt idx="129">
                  <c:v>0.27700200000000003</c:v>
                </c:pt>
                <c:pt idx="130">
                  <c:v>0.28068199999999999</c:v>
                </c:pt>
                <c:pt idx="131">
                  <c:v>0.28308899999999998</c:v>
                </c:pt>
                <c:pt idx="132">
                  <c:v>0.28629500000000002</c:v>
                </c:pt>
                <c:pt idx="133">
                  <c:v>0.28976499999999999</c:v>
                </c:pt>
                <c:pt idx="134">
                  <c:v>0.29203899999999999</c:v>
                </c:pt>
                <c:pt idx="135">
                  <c:v>0.29692200000000002</c:v>
                </c:pt>
                <c:pt idx="136">
                  <c:v>0.30200500000000002</c:v>
                </c:pt>
                <c:pt idx="137">
                  <c:v>0.30307299999999998</c:v>
                </c:pt>
                <c:pt idx="138">
                  <c:v>0.30648700000000001</c:v>
                </c:pt>
                <c:pt idx="139">
                  <c:v>0.310805</c:v>
                </c:pt>
                <c:pt idx="140">
                  <c:v>0.31418099999999999</c:v>
                </c:pt>
                <c:pt idx="141">
                  <c:v>0.31592500000000001</c:v>
                </c:pt>
                <c:pt idx="142">
                  <c:v>0.31972</c:v>
                </c:pt>
                <c:pt idx="143">
                  <c:v>0.32293500000000003</c:v>
                </c:pt>
                <c:pt idx="144">
                  <c:v>0.32647500000000002</c:v>
                </c:pt>
                <c:pt idx="145">
                  <c:v>0.32886799999999999</c:v>
                </c:pt>
                <c:pt idx="146">
                  <c:v>0.33362700000000001</c:v>
                </c:pt>
                <c:pt idx="147">
                  <c:v>0.33679199999999998</c:v>
                </c:pt>
                <c:pt idx="148">
                  <c:v>0.34005200000000002</c:v>
                </c:pt>
                <c:pt idx="149">
                  <c:v>0.34259400000000001</c:v>
                </c:pt>
                <c:pt idx="150">
                  <c:v>0.34364600000000001</c:v>
                </c:pt>
                <c:pt idx="151">
                  <c:v>0.34791699999999998</c:v>
                </c:pt>
                <c:pt idx="152">
                  <c:v>0.35115800000000003</c:v>
                </c:pt>
                <c:pt idx="153">
                  <c:v>0.35425299999999998</c:v>
                </c:pt>
                <c:pt idx="154">
                  <c:v>0.356985</c:v>
                </c:pt>
                <c:pt idx="155">
                  <c:v>0.35865599999999997</c:v>
                </c:pt>
                <c:pt idx="156">
                  <c:v>0.36308299999999999</c:v>
                </c:pt>
                <c:pt idx="157">
                  <c:v>0.36518600000000001</c:v>
                </c:pt>
                <c:pt idx="158">
                  <c:v>0.36941400000000002</c:v>
                </c:pt>
                <c:pt idx="159">
                  <c:v>0.37085899999999999</c:v>
                </c:pt>
                <c:pt idx="160">
                  <c:v>0.374413</c:v>
                </c:pt>
                <c:pt idx="161">
                  <c:v>0.37526999999999999</c:v>
                </c:pt>
                <c:pt idx="162">
                  <c:v>0.37837399999999999</c:v>
                </c:pt>
                <c:pt idx="163">
                  <c:v>0.38295400000000002</c:v>
                </c:pt>
                <c:pt idx="164">
                  <c:v>0.38612200000000002</c:v>
                </c:pt>
                <c:pt idx="165">
                  <c:v>0.38835799999999998</c:v>
                </c:pt>
                <c:pt idx="166">
                  <c:v>0.39301000000000003</c:v>
                </c:pt>
                <c:pt idx="167">
                  <c:v>0.393957</c:v>
                </c:pt>
                <c:pt idx="168">
                  <c:v>0.39546500000000001</c:v>
                </c:pt>
                <c:pt idx="169">
                  <c:v>0.39938800000000002</c:v>
                </c:pt>
                <c:pt idx="170">
                  <c:v>0.40324500000000002</c:v>
                </c:pt>
                <c:pt idx="171">
                  <c:v>0.405198</c:v>
                </c:pt>
                <c:pt idx="172">
                  <c:v>0.40768799999999999</c:v>
                </c:pt>
                <c:pt idx="173">
                  <c:v>0.40986699999999998</c:v>
                </c:pt>
                <c:pt idx="174">
                  <c:v>0.41112799999999999</c:v>
                </c:pt>
                <c:pt idx="175">
                  <c:v>0.41542200000000001</c:v>
                </c:pt>
                <c:pt idx="176">
                  <c:v>0.41722599999999999</c:v>
                </c:pt>
                <c:pt idx="177">
                  <c:v>0.42012500000000003</c:v>
                </c:pt>
                <c:pt idx="178">
                  <c:v>0.42269299999999999</c:v>
                </c:pt>
                <c:pt idx="179">
                  <c:v>0.42562899999999998</c:v>
                </c:pt>
                <c:pt idx="180">
                  <c:v>0.42635499999999998</c:v>
                </c:pt>
                <c:pt idx="181">
                  <c:v>0.42965500000000001</c:v>
                </c:pt>
                <c:pt idx="182">
                  <c:v>0.43248399999999998</c:v>
                </c:pt>
                <c:pt idx="183">
                  <c:v>0.43406600000000001</c:v>
                </c:pt>
                <c:pt idx="184">
                  <c:v>0.43676799999999999</c:v>
                </c:pt>
                <c:pt idx="185">
                  <c:v>0.43724000000000002</c:v>
                </c:pt>
                <c:pt idx="186">
                  <c:v>0.44119399999999998</c:v>
                </c:pt>
                <c:pt idx="187">
                  <c:v>0.44428299999999998</c:v>
                </c:pt>
                <c:pt idx="188">
                  <c:v>0.44738299999999998</c:v>
                </c:pt>
                <c:pt idx="189">
                  <c:v>0.44878800000000002</c:v>
                </c:pt>
                <c:pt idx="190">
                  <c:v>0.45252199999999998</c:v>
                </c:pt>
                <c:pt idx="191">
                  <c:v>0.45242700000000002</c:v>
                </c:pt>
                <c:pt idx="192">
                  <c:v>0.455652</c:v>
                </c:pt>
                <c:pt idx="193">
                  <c:v>0.45729199999999998</c:v>
                </c:pt>
                <c:pt idx="194">
                  <c:v>0.45970800000000001</c:v>
                </c:pt>
                <c:pt idx="195">
                  <c:v>0.46243499999999998</c:v>
                </c:pt>
                <c:pt idx="196">
                  <c:v>0.46534199999999998</c:v>
                </c:pt>
                <c:pt idx="197">
                  <c:v>0.46595999999999999</c:v>
                </c:pt>
                <c:pt idx="198">
                  <c:v>0.469225</c:v>
                </c:pt>
                <c:pt idx="199">
                  <c:v>0.46818900000000002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Sheet1!$Z$1</c:f>
              <c:strCache>
                <c:ptCount val="1"/>
                <c:pt idx="0">
                  <c:v>Pd Sim</c:v>
                </c:pt>
              </c:strCache>
            </c:strRef>
          </c:tx>
          <c:spPr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Sheet1!$Z$2:$Z$201</c:f>
              <c:numCache>
                <c:formatCode>0.000000</c:formatCode>
                <c:ptCount val="200"/>
                <c:pt idx="0">
                  <c:v>6.3041E-2</c:v>
                </c:pt>
                <c:pt idx="1">
                  <c:v>0.118853</c:v>
                </c:pt>
                <c:pt idx="2">
                  <c:v>0.16955100000000001</c:v>
                </c:pt>
                <c:pt idx="3">
                  <c:v>0.214895</c:v>
                </c:pt>
                <c:pt idx="4">
                  <c:v>0.255324</c:v>
                </c:pt>
                <c:pt idx="5">
                  <c:v>0.29370000000000002</c:v>
                </c:pt>
                <c:pt idx="6">
                  <c:v>0.32769599999999999</c:v>
                </c:pt>
                <c:pt idx="7">
                  <c:v>0.35861799999999999</c:v>
                </c:pt>
                <c:pt idx="8">
                  <c:v>0.38817400000000002</c:v>
                </c:pt>
                <c:pt idx="9">
                  <c:v>0.415769</c:v>
                </c:pt>
                <c:pt idx="10">
                  <c:v>0.43972899999999998</c:v>
                </c:pt>
                <c:pt idx="11">
                  <c:v>0.46253</c:v>
                </c:pt>
                <c:pt idx="12">
                  <c:v>0.48377100000000001</c:v>
                </c:pt>
                <c:pt idx="13">
                  <c:v>0.50287800000000005</c:v>
                </c:pt>
                <c:pt idx="14">
                  <c:v>0.52320599999999995</c:v>
                </c:pt>
                <c:pt idx="15">
                  <c:v>0.53855200000000003</c:v>
                </c:pt>
                <c:pt idx="16">
                  <c:v>0.55567999999999995</c:v>
                </c:pt>
                <c:pt idx="17">
                  <c:v>0.57068399999999997</c:v>
                </c:pt>
                <c:pt idx="18">
                  <c:v>0.58501499999999995</c:v>
                </c:pt>
                <c:pt idx="19">
                  <c:v>0.59890399999999999</c:v>
                </c:pt>
                <c:pt idx="20">
                  <c:v>0.61213499999999998</c:v>
                </c:pt>
                <c:pt idx="21">
                  <c:v>0.62338700000000002</c:v>
                </c:pt>
                <c:pt idx="22">
                  <c:v>0.63509300000000002</c:v>
                </c:pt>
                <c:pt idx="23">
                  <c:v>0.64477899999999999</c:v>
                </c:pt>
                <c:pt idx="24">
                  <c:v>0.655246</c:v>
                </c:pt>
                <c:pt idx="25">
                  <c:v>0.66497899999999999</c:v>
                </c:pt>
                <c:pt idx="26">
                  <c:v>0.67473899999999998</c:v>
                </c:pt>
                <c:pt idx="27">
                  <c:v>0.68431299999999995</c:v>
                </c:pt>
                <c:pt idx="28">
                  <c:v>0.69180699999999995</c:v>
                </c:pt>
                <c:pt idx="29">
                  <c:v>0.69943100000000002</c:v>
                </c:pt>
                <c:pt idx="30">
                  <c:v>0.70631500000000003</c:v>
                </c:pt>
                <c:pt idx="31">
                  <c:v>0.71400300000000005</c:v>
                </c:pt>
                <c:pt idx="32">
                  <c:v>0.72124600000000005</c:v>
                </c:pt>
                <c:pt idx="33">
                  <c:v>0.72670400000000002</c:v>
                </c:pt>
                <c:pt idx="34">
                  <c:v>0.73266600000000004</c:v>
                </c:pt>
                <c:pt idx="35">
                  <c:v>0.738348</c:v>
                </c:pt>
                <c:pt idx="36">
                  <c:v>0.74386799999999997</c:v>
                </c:pt>
                <c:pt idx="37">
                  <c:v>0.74986799999999998</c:v>
                </c:pt>
                <c:pt idx="38">
                  <c:v>0.75457099999999999</c:v>
                </c:pt>
                <c:pt idx="39">
                  <c:v>0.75854200000000005</c:v>
                </c:pt>
                <c:pt idx="40">
                  <c:v>0.76303399999999999</c:v>
                </c:pt>
                <c:pt idx="41">
                  <c:v>0.76785800000000004</c:v>
                </c:pt>
                <c:pt idx="42">
                  <c:v>0.770764</c:v>
                </c:pt>
                <c:pt idx="43">
                  <c:v>0.77441700000000002</c:v>
                </c:pt>
                <c:pt idx="44">
                  <c:v>0.77796900000000002</c:v>
                </c:pt>
                <c:pt idx="45">
                  <c:v>0.78031200000000001</c:v>
                </c:pt>
                <c:pt idx="46">
                  <c:v>0.78419499999999998</c:v>
                </c:pt>
                <c:pt idx="47">
                  <c:v>0.78647299999999998</c:v>
                </c:pt>
                <c:pt idx="48">
                  <c:v>0.78882799999999997</c:v>
                </c:pt>
                <c:pt idx="49">
                  <c:v>0.79112300000000002</c:v>
                </c:pt>
                <c:pt idx="50">
                  <c:v>0.79295199999999999</c:v>
                </c:pt>
                <c:pt idx="51">
                  <c:v>0.79408900000000004</c:v>
                </c:pt>
                <c:pt idx="52">
                  <c:v>0.79684699999999997</c:v>
                </c:pt>
                <c:pt idx="53">
                  <c:v>0.798454</c:v>
                </c:pt>
                <c:pt idx="54">
                  <c:v>0.80035199999999995</c:v>
                </c:pt>
                <c:pt idx="55">
                  <c:v>0.80080300000000004</c:v>
                </c:pt>
                <c:pt idx="56">
                  <c:v>0.80169000000000001</c:v>
                </c:pt>
                <c:pt idx="57">
                  <c:v>0.80241600000000002</c:v>
                </c:pt>
                <c:pt idx="58">
                  <c:v>0.80287900000000001</c:v>
                </c:pt>
                <c:pt idx="59">
                  <c:v>0.80407399999999996</c:v>
                </c:pt>
                <c:pt idx="60">
                  <c:v>0.80368399999999995</c:v>
                </c:pt>
                <c:pt idx="61">
                  <c:v>0.80367500000000003</c:v>
                </c:pt>
                <c:pt idx="62">
                  <c:v>0.80354499999999995</c:v>
                </c:pt>
                <c:pt idx="63">
                  <c:v>0.80439400000000005</c:v>
                </c:pt>
                <c:pt idx="64">
                  <c:v>0.802782</c:v>
                </c:pt>
                <c:pt idx="65">
                  <c:v>0.80340699999999998</c:v>
                </c:pt>
                <c:pt idx="66">
                  <c:v>0.80190899999999998</c:v>
                </c:pt>
                <c:pt idx="67">
                  <c:v>0.80240500000000003</c:v>
                </c:pt>
                <c:pt idx="68">
                  <c:v>0.800871</c:v>
                </c:pt>
                <c:pt idx="69">
                  <c:v>0.79950299999999996</c:v>
                </c:pt>
                <c:pt idx="70">
                  <c:v>0.79905800000000005</c:v>
                </c:pt>
                <c:pt idx="71">
                  <c:v>0.79856700000000003</c:v>
                </c:pt>
                <c:pt idx="72">
                  <c:v>0.796902</c:v>
                </c:pt>
                <c:pt idx="73">
                  <c:v>0.79531600000000002</c:v>
                </c:pt>
                <c:pt idx="74">
                  <c:v>0.79386199999999996</c:v>
                </c:pt>
                <c:pt idx="75">
                  <c:v>0.79232100000000005</c:v>
                </c:pt>
                <c:pt idx="76">
                  <c:v>0.79022099999999995</c:v>
                </c:pt>
                <c:pt idx="77">
                  <c:v>0.78898400000000002</c:v>
                </c:pt>
                <c:pt idx="78">
                  <c:v>0.78719399999999995</c:v>
                </c:pt>
                <c:pt idx="79">
                  <c:v>0.78495099999999995</c:v>
                </c:pt>
                <c:pt idx="80">
                  <c:v>0.78241899999999998</c:v>
                </c:pt>
                <c:pt idx="81">
                  <c:v>0.78162799999999999</c:v>
                </c:pt>
                <c:pt idx="82">
                  <c:v>0.77940200000000004</c:v>
                </c:pt>
                <c:pt idx="83">
                  <c:v>0.778312</c:v>
                </c:pt>
                <c:pt idx="84">
                  <c:v>0.77392899999999998</c:v>
                </c:pt>
                <c:pt idx="85">
                  <c:v>0.77027999999999996</c:v>
                </c:pt>
                <c:pt idx="86">
                  <c:v>0.769791</c:v>
                </c:pt>
                <c:pt idx="87">
                  <c:v>0.767563</c:v>
                </c:pt>
                <c:pt idx="88">
                  <c:v>0.76378699999999999</c:v>
                </c:pt>
                <c:pt idx="89">
                  <c:v>0.76273100000000005</c:v>
                </c:pt>
                <c:pt idx="90">
                  <c:v>0.75931300000000002</c:v>
                </c:pt>
                <c:pt idx="91">
                  <c:v>0.75643400000000005</c:v>
                </c:pt>
                <c:pt idx="92">
                  <c:v>0.75564799999999999</c:v>
                </c:pt>
                <c:pt idx="93">
                  <c:v>0.75284300000000004</c:v>
                </c:pt>
                <c:pt idx="94">
                  <c:v>0.74934900000000004</c:v>
                </c:pt>
                <c:pt idx="95">
                  <c:v>0.74740300000000004</c:v>
                </c:pt>
                <c:pt idx="96">
                  <c:v>0.74294800000000005</c:v>
                </c:pt>
                <c:pt idx="97">
                  <c:v>0.74080199999999996</c:v>
                </c:pt>
                <c:pt idx="98">
                  <c:v>0.73868400000000001</c:v>
                </c:pt>
                <c:pt idx="99">
                  <c:v>0.73394499999999996</c:v>
                </c:pt>
                <c:pt idx="100">
                  <c:v>0.73046100000000003</c:v>
                </c:pt>
                <c:pt idx="101">
                  <c:v>0.72889400000000004</c:v>
                </c:pt>
                <c:pt idx="102">
                  <c:v>0.72594400000000003</c:v>
                </c:pt>
                <c:pt idx="103">
                  <c:v>0.72282400000000002</c:v>
                </c:pt>
                <c:pt idx="104">
                  <c:v>0.72049799999999997</c:v>
                </c:pt>
                <c:pt idx="105">
                  <c:v>0.71673200000000004</c:v>
                </c:pt>
                <c:pt idx="106">
                  <c:v>0.71375</c:v>
                </c:pt>
                <c:pt idx="107">
                  <c:v>0.71195900000000001</c:v>
                </c:pt>
                <c:pt idx="108">
                  <c:v>0.70977699999999999</c:v>
                </c:pt>
                <c:pt idx="109">
                  <c:v>0.706426</c:v>
                </c:pt>
                <c:pt idx="110">
                  <c:v>0.70205600000000001</c:v>
                </c:pt>
                <c:pt idx="111">
                  <c:v>0.70016900000000004</c:v>
                </c:pt>
                <c:pt idx="112">
                  <c:v>0.69784800000000002</c:v>
                </c:pt>
                <c:pt idx="113">
                  <c:v>0.69400399999999995</c:v>
                </c:pt>
                <c:pt idx="114">
                  <c:v>0.69162800000000002</c:v>
                </c:pt>
                <c:pt idx="115">
                  <c:v>0.68767800000000001</c:v>
                </c:pt>
                <c:pt idx="116">
                  <c:v>0.68438100000000002</c:v>
                </c:pt>
                <c:pt idx="117">
                  <c:v>0.68191400000000002</c:v>
                </c:pt>
                <c:pt idx="118">
                  <c:v>0.68009600000000003</c:v>
                </c:pt>
                <c:pt idx="119">
                  <c:v>0.67413400000000001</c:v>
                </c:pt>
                <c:pt idx="120">
                  <c:v>0.67272100000000001</c:v>
                </c:pt>
                <c:pt idx="121">
                  <c:v>0.67012000000000005</c:v>
                </c:pt>
                <c:pt idx="122">
                  <c:v>0.66660399999999997</c:v>
                </c:pt>
                <c:pt idx="123">
                  <c:v>0.66241000000000005</c:v>
                </c:pt>
                <c:pt idx="124">
                  <c:v>0.66120800000000002</c:v>
                </c:pt>
                <c:pt idx="125">
                  <c:v>0.65677700000000006</c:v>
                </c:pt>
                <c:pt idx="126">
                  <c:v>0.65368899999999996</c:v>
                </c:pt>
                <c:pt idx="127">
                  <c:v>0.65185400000000004</c:v>
                </c:pt>
                <c:pt idx="128">
                  <c:v>0.64991900000000002</c:v>
                </c:pt>
                <c:pt idx="129">
                  <c:v>0.64595999999999998</c:v>
                </c:pt>
                <c:pt idx="130">
                  <c:v>0.64303900000000003</c:v>
                </c:pt>
                <c:pt idx="131">
                  <c:v>0.64061900000000005</c:v>
                </c:pt>
                <c:pt idx="132">
                  <c:v>0.63849599999999995</c:v>
                </c:pt>
                <c:pt idx="133">
                  <c:v>0.63529100000000005</c:v>
                </c:pt>
                <c:pt idx="134">
                  <c:v>0.63370899999999997</c:v>
                </c:pt>
                <c:pt idx="135">
                  <c:v>0.62963199999999997</c:v>
                </c:pt>
                <c:pt idx="136">
                  <c:v>0.62529599999999996</c:v>
                </c:pt>
                <c:pt idx="137">
                  <c:v>0.62405600000000006</c:v>
                </c:pt>
                <c:pt idx="138">
                  <c:v>0.62132799999999999</c:v>
                </c:pt>
                <c:pt idx="139">
                  <c:v>0.61786200000000002</c:v>
                </c:pt>
                <c:pt idx="140">
                  <c:v>0.61480699999999999</c:v>
                </c:pt>
                <c:pt idx="141">
                  <c:v>0.61327200000000004</c:v>
                </c:pt>
                <c:pt idx="142">
                  <c:v>0.60997100000000004</c:v>
                </c:pt>
                <c:pt idx="143">
                  <c:v>0.60747099999999998</c:v>
                </c:pt>
                <c:pt idx="144">
                  <c:v>0.60443000000000002</c:v>
                </c:pt>
                <c:pt idx="145">
                  <c:v>0.60255800000000004</c:v>
                </c:pt>
                <c:pt idx="146">
                  <c:v>0.59816199999999997</c:v>
                </c:pt>
                <c:pt idx="147">
                  <c:v>0.59559899999999999</c:v>
                </c:pt>
                <c:pt idx="148">
                  <c:v>0.59297800000000001</c:v>
                </c:pt>
                <c:pt idx="149">
                  <c:v>0.59126400000000001</c:v>
                </c:pt>
                <c:pt idx="150">
                  <c:v>0.59010499999999999</c:v>
                </c:pt>
                <c:pt idx="151">
                  <c:v>0.58640300000000001</c:v>
                </c:pt>
                <c:pt idx="152">
                  <c:v>0.58406400000000003</c:v>
                </c:pt>
                <c:pt idx="153">
                  <c:v>0.58114399999999999</c:v>
                </c:pt>
                <c:pt idx="154">
                  <c:v>0.57856399999999997</c:v>
                </c:pt>
                <c:pt idx="155">
                  <c:v>0.577075</c:v>
                </c:pt>
                <c:pt idx="156">
                  <c:v>0.57327899999999998</c:v>
                </c:pt>
                <c:pt idx="157">
                  <c:v>0.57163399999999998</c:v>
                </c:pt>
                <c:pt idx="158">
                  <c:v>0.56821999999999995</c:v>
                </c:pt>
                <c:pt idx="159">
                  <c:v>0.56682900000000003</c:v>
                </c:pt>
                <c:pt idx="160">
                  <c:v>0.56375699999999995</c:v>
                </c:pt>
                <c:pt idx="161">
                  <c:v>0.56277100000000002</c:v>
                </c:pt>
                <c:pt idx="162">
                  <c:v>0.55979400000000001</c:v>
                </c:pt>
                <c:pt idx="163">
                  <c:v>0.55605599999999999</c:v>
                </c:pt>
                <c:pt idx="164">
                  <c:v>0.55354800000000004</c:v>
                </c:pt>
                <c:pt idx="165">
                  <c:v>0.55134899999999998</c:v>
                </c:pt>
                <c:pt idx="166">
                  <c:v>0.54747199999999996</c:v>
                </c:pt>
                <c:pt idx="167">
                  <c:v>0.54675200000000002</c:v>
                </c:pt>
                <c:pt idx="168">
                  <c:v>0.54525000000000001</c:v>
                </c:pt>
                <c:pt idx="169">
                  <c:v>0.54175899999999999</c:v>
                </c:pt>
                <c:pt idx="170">
                  <c:v>0.53844999999999998</c:v>
                </c:pt>
                <c:pt idx="171">
                  <c:v>0.53675099999999998</c:v>
                </c:pt>
                <c:pt idx="172">
                  <c:v>0.53458799999999995</c:v>
                </c:pt>
                <c:pt idx="173">
                  <c:v>0.53275799999999995</c:v>
                </c:pt>
                <c:pt idx="174">
                  <c:v>0.53167799999999998</c:v>
                </c:pt>
                <c:pt idx="175">
                  <c:v>0.52784600000000004</c:v>
                </c:pt>
                <c:pt idx="176">
                  <c:v>0.52623500000000001</c:v>
                </c:pt>
                <c:pt idx="177">
                  <c:v>0.52385199999999998</c:v>
                </c:pt>
                <c:pt idx="178">
                  <c:v>0.52174100000000001</c:v>
                </c:pt>
                <c:pt idx="179">
                  <c:v>0.518787</c:v>
                </c:pt>
                <c:pt idx="180">
                  <c:v>0.51817199999999997</c:v>
                </c:pt>
                <c:pt idx="181">
                  <c:v>0.51536499999999996</c:v>
                </c:pt>
                <c:pt idx="182">
                  <c:v>0.51273999999999997</c:v>
                </c:pt>
                <c:pt idx="183">
                  <c:v>0.51163400000000003</c:v>
                </c:pt>
                <c:pt idx="184">
                  <c:v>0.50883599999999996</c:v>
                </c:pt>
                <c:pt idx="185">
                  <c:v>0.50859200000000004</c:v>
                </c:pt>
                <c:pt idx="186">
                  <c:v>0.50534500000000004</c:v>
                </c:pt>
                <c:pt idx="187">
                  <c:v>0.50275499999999995</c:v>
                </c:pt>
                <c:pt idx="188">
                  <c:v>0.50003200000000003</c:v>
                </c:pt>
                <c:pt idx="189">
                  <c:v>0.498581</c:v>
                </c:pt>
                <c:pt idx="190">
                  <c:v>0.49536200000000002</c:v>
                </c:pt>
                <c:pt idx="191">
                  <c:v>0.49562400000000001</c:v>
                </c:pt>
                <c:pt idx="192">
                  <c:v>0.49311300000000002</c:v>
                </c:pt>
                <c:pt idx="193">
                  <c:v>0.49109399999999997</c:v>
                </c:pt>
                <c:pt idx="194">
                  <c:v>0.489116</c:v>
                </c:pt>
                <c:pt idx="195">
                  <c:v>0.48645500000000003</c:v>
                </c:pt>
                <c:pt idx="196">
                  <c:v>0.483987</c:v>
                </c:pt>
                <c:pt idx="197">
                  <c:v>0.48373100000000002</c:v>
                </c:pt>
                <c:pt idx="198">
                  <c:v>0.48074899999999998</c:v>
                </c:pt>
                <c:pt idx="199">
                  <c:v>0.48136400000000001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92136448"/>
        <c:axId val="41844032"/>
      </c:lineChart>
      <c:catAx>
        <c:axId val="921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41844032"/>
        <c:crosses val="autoZero"/>
        <c:auto val="1"/>
        <c:lblAlgn val="ctr"/>
        <c:lblOffset val="100"/>
        <c:noMultiLvlLbl val="1"/>
      </c:catAx>
      <c:valAx>
        <c:axId val="4184403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00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9213644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  <c:showDLblsOverMax val="1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Sheet1!$H$1:$H$199</c:f>
              <c:numCache>
                <c:formatCode>General</c:formatCode>
                <c:ptCount val="1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8.9999999999999993E-3</c:v>
                </c:pt>
                <c:pt idx="27">
                  <c:v>1E-3</c:v>
                </c:pt>
                <c:pt idx="28">
                  <c:v>0</c:v>
                </c:pt>
                <c:pt idx="29">
                  <c:v>5.0000000000000001E-3</c:v>
                </c:pt>
                <c:pt idx="30">
                  <c:v>1E-3</c:v>
                </c:pt>
                <c:pt idx="31">
                  <c:v>0</c:v>
                </c:pt>
                <c:pt idx="32">
                  <c:v>0</c:v>
                </c:pt>
                <c:pt idx="33">
                  <c:v>1E-3</c:v>
                </c:pt>
                <c:pt idx="34">
                  <c:v>0</c:v>
                </c:pt>
                <c:pt idx="35">
                  <c:v>6.0000000000000001E-3</c:v>
                </c:pt>
                <c:pt idx="36">
                  <c:v>0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6.0000000000000001E-3</c:v>
                </c:pt>
                <c:pt idx="40">
                  <c:v>8.0000000000000002E-3</c:v>
                </c:pt>
                <c:pt idx="41">
                  <c:v>4.0000000000000001E-3</c:v>
                </c:pt>
                <c:pt idx="42">
                  <c:v>1E-3</c:v>
                </c:pt>
                <c:pt idx="43">
                  <c:v>2.4E-2</c:v>
                </c:pt>
                <c:pt idx="44">
                  <c:v>8.0000000000000002E-3</c:v>
                </c:pt>
                <c:pt idx="45">
                  <c:v>1.7000000000000001E-2</c:v>
                </c:pt>
                <c:pt idx="46">
                  <c:v>8.9999999999999993E-3</c:v>
                </c:pt>
                <c:pt idx="47">
                  <c:v>1.2E-2</c:v>
                </c:pt>
                <c:pt idx="48">
                  <c:v>8.9999999999999993E-3</c:v>
                </c:pt>
                <c:pt idx="49">
                  <c:v>2.4E-2</c:v>
                </c:pt>
                <c:pt idx="50">
                  <c:v>2.7E-2</c:v>
                </c:pt>
                <c:pt idx="51">
                  <c:v>6.0000000000000001E-3</c:v>
                </c:pt>
                <c:pt idx="52">
                  <c:v>8.9999999999999993E-3</c:v>
                </c:pt>
                <c:pt idx="53">
                  <c:v>3.2000000000000001E-2</c:v>
                </c:pt>
                <c:pt idx="54">
                  <c:v>1.7000000000000001E-2</c:v>
                </c:pt>
                <c:pt idx="55">
                  <c:v>1.7999999999999999E-2</c:v>
                </c:pt>
                <c:pt idx="56">
                  <c:v>0.05</c:v>
                </c:pt>
                <c:pt idx="57">
                  <c:v>2.4E-2</c:v>
                </c:pt>
                <c:pt idx="58">
                  <c:v>2.7E-2</c:v>
                </c:pt>
                <c:pt idx="59">
                  <c:v>5.1999999999999998E-2</c:v>
                </c:pt>
                <c:pt idx="60">
                  <c:v>0.04</c:v>
                </c:pt>
                <c:pt idx="61">
                  <c:v>3.7999999999999999E-2</c:v>
                </c:pt>
                <c:pt idx="62">
                  <c:v>7.0999999999999994E-2</c:v>
                </c:pt>
                <c:pt idx="63">
                  <c:v>4.3999999999999997E-2</c:v>
                </c:pt>
                <c:pt idx="64">
                  <c:v>6.7000000000000004E-2</c:v>
                </c:pt>
                <c:pt idx="65">
                  <c:v>4.9000000000000002E-2</c:v>
                </c:pt>
                <c:pt idx="66">
                  <c:v>5.2999999999999999E-2</c:v>
                </c:pt>
                <c:pt idx="67">
                  <c:v>4.3999999999999997E-2</c:v>
                </c:pt>
                <c:pt idx="68">
                  <c:v>5.7000000000000002E-2</c:v>
                </c:pt>
                <c:pt idx="69">
                  <c:v>9.1999999999999998E-2</c:v>
                </c:pt>
                <c:pt idx="70">
                  <c:v>7.1999999999999995E-2</c:v>
                </c:pt>
                <c:pt idx="71">
                  <c:v>6.0999999999999999E-2</c:v>
                </c:pt>
                <c:pt idx="72">
                  <c:v>7.6999999999999999E-2</c:v>
                </c:pt>
                <c:pt idx="73">
                  <c:v>7.6999999999999999E-2</c:v>
                </c:pt>
                <c:pt idx="74">
                  <c:v>4.8000000000000001E-2</c:v>
                </c:pt>
                <c:pt idx="75">
                  <c:v>0.08</c:v>
                </c:pt>
                <c:pt idx="76">
                  <c:v>9.8000000000000004E-2</c:v>
                </c:pt>
                <c:pt idx="77">
                  <c:v>7.6999999999999999E-2</c:v>
                </c:pt>
                <c:pt idx="78">
                  <c:v>9.9000000000000005E-2</c:v>
                </c:pt>
                <c:pt idx="79">
                  <c:v>8.8999999999999996E-2</c:v>
                </c:pt>
                <c:pt idx="80">
                  <c:v>9.8000000000000004E-2</c:v>
                </c:pt>
                <c:pt idx="81">
                  <c:v>9.2999999999999999E-2</c:v>
                </c:pt>
                <c:pt idx="82">
                  <c:v>7.3999999999999996E-2</c:v>
                </c:pt>
                <c:pt idx="83">
                  <c:v>0.08</c:v>
                </c:pt>
                <c:pt idx="84">
                  <c:v>8.5000000000000006E-2</c:v>
                </c:pt>
                <c:pt idx="85">
                  <c:v>0.114</c:v>
                </c:pt>
                <c:pt idx="86">
                  <c:v>0.111</c:v>
                </c:pt>
                <c:pt idx="87">
                  <c:v>7.3999999999999996E-2</c:v>
                </c:pt>
                <c:pt idx="88">
                  <c:v>0.14499999999999999</c:v>
                </c:pt>
                <c:pt idx="89">
                  <c:v>0.156</c:v>
                </c:pt>
                <c:pt idx="90">
                  <c:v>0.13900000000000001</c:v>
                </c:pt>
                <c:pt idx="91">
                  <c:v>0.161</c:v>
                </c:pt>
                <c:pt idx="92">
                  <c:v>0.14899999999999999</c:v>
                </c:pt>
                <c:pt idx="93">
                  <c:v>0.182</c:v>
                </c:pt>
                <c:pt idx="94">
                  <c:v>0.15</c:v>
                </c:pt>
                <c:pt idx="95">
                  <c:v>0.1</c:v>
                </c:pt>
                <c:pt idx="96">
                  <c:v>0.125</c:v>
                </c:pt>
                <c:pt idx="97">
                  <c:v>0.16200000000000001</c:v>
                </c:pt>
                <c:pt idx="98">
                  <c:v>0.154</c:v>
                </c:pt>
                <c:pt idx="99">
                  <c:v>0.156</c:v>
                </c:pt>
                <c:pt idx="100">
                  <c:v>0.13200000000000001</c:v>
                </c:pt>
                <c:pt idx="101">
                  <c:v>0.17899999999999999</c:v>
                </c:pt>
                <c:pt idx="102">
                  <c:v>0.155</c:v>
                </c:pt>
                <c:pt idx="103">
                  <c:v>0.16600000000000001</c:v>
                </c:pt>
                <c:pt idx="104">
                  <c:v>0.16700000000000001</c:v>
                </c:pt>
                <c:pt idx="105">
                  <c:v>0.21099999999999999</c:v>
                </c:pt>
                <c:pt idx="106">
                  <c:v>0.192</c:v>
                </c:pt>
                <c:pt idx="107">
                  <c:v>0.193</c:v>
                </c:pt>
                <c:pt idx="108">
                  <c:v>0.187</c:v>
                </c:pt>
                <c:pt idx="109">
                  <c:v>0.22</c:v>
                </c:pt>
                <c:pt idx="110">
                  <c:v>0.17499999999999999</c:v>
                </c:pt>
                <c:pt idx="111">
                  <c:v>0.25</c:v>
                </c:pt>
                <c:pt idx="112">
                  <c:v>0.222</c:v>
                </c:pt>
                <c:pt idx="113">
                  <c:v>0.185</c:v>
                </c:pt>
                <c:pt idx="114">
                  <c:v>0.23499999999999999</c:v>
                </c:pt>
                <c:pt idx="115">
                  <c:v>0.23899999999999999</c:v>
                </c:pt>
                <c:pt idx="116">
                  <c:v>0.24399999999999999</c:v>
                </c:pt>
                <c:pt idx="117">
                  <c:v>0.26100000000000001</c:v>
                </c:pt>
                <c:pt idx="118">
                  <c:v>0.249</c:v>
                </c:pt>
                <c:pt idx="119">
                  <c:v>0.188</c:v>
                </c:pt>
                <c:pt idx="120">
                  <c:v>0.25800000000000001</c:v>
                </c:pt>
                <c:pt idx="121">
                  <c:v>0.249</c:v>
                </c:pt>
                <c:pt idx="122">
                  <c:v>0.18099999999999999</c:v>
                </c:pt>
                <c:pt idx="123">
                  <c:v>0.246</c:v>
                </c:pt>
                <c:pt idx="124">
                  <c:v>0.27100000000000002</c:v>
                </c:pt>
                <c:pt idx="125">
                  <c:v>0.23599999999999999</c:v>
                </c:pt>
                <c:pt idx="126">
                  <c:v>0.27200000000000002</c:v>
                </c:pt>
                <c:pt idx="127">
                  <c:v>0.28399999999999997</c:v>
                </c:pt>
                <c:pt idx="128">
                  <c:v>0.312</c:v>
                </c:pt>
                <c:pt idx="129">
                  <c:v>0.27500000000000002</c:v>
                </c:pt>
                <c:pt idx="130">
                  <c:v>0.28599999999999998</c:v>
                </c:pt>
                <c:pt idx="131">
                  <c:v>0.311</c:v>
                </c:pt>
                <c:pt idx="132">
                  <c:v>0.28299999999999997</c:v>
                </c:pt>
                <c:pt idx="133">
                  <c:v>0.32100000000000001</c:v>
                </c:pt>
                <c:pt idx="134">
                  <c:v>0.26600000000000001</c:v>
                </c:pt>
                <c:pt idx="135">
                  <c:v>0.27700000000000002</c:v>
                </c:pt>
                <c:pt idx="136">
                  <c:v>0.309</c:v>
                </c:pt>
                <c:pt idx="137">
                  <c:v>0.29699999999999999</c:v>
                </c:pt>
                <c:pt idx="138">
                  <c:v>0.32800000000000001</c:v>
                </c:pt>
                <c:pt idx="139">
                  <c:v>0.30399999999999999</c:v>
                </c:pt>
                <c:pt idx="140">
                  <c:v>0.33400000000000002</c:v>
                </c:pt>
                <c:pt idx="141">
                  <c:v>0.33900000000000002</c:v>
                </c:pt>
                <c:pt idx="142">
                  <c:v>0.32300000000000001</c:v>
                </c:pt>
                <c:pt idx="143">
                  <c:v>0.34699999999999998</c:v>
                </c:pt>
                <c:pt idx="144">
                  <c:v>0.30499999999999999</c:v>
                </c:pt>
                <c:pt idx="145">
                  <c:v>0.29599999999999999</c:v>
                </c:pt>
                <c:pt idx="146">
                  <c:v>0.33</c:v>
                </c:pt>
                <c:pt idx="147">
                  <c:v>0.317</c:v>
                </c:pt>
                <c:pt idx="148">
                  <c:v>0.313</c:v>
                </c:pt>
                <c:pt idx="149">
                  <c:v>0.312</c:v>
                </c:pt>
                <c:pt idx="150">
                  <c:v>0.35399999999999998</c:v>
                </c:pt>
                <c:pt idx="151">
                  <c:v>0.36399999999999999</c:v>
                </c:pt>
                <c:pt idx="152">
                  <c:v>0.38100000000000001</c:v>
                </c:pt>
                <c:pt idx="153">
                  <c:v>0.33800000000000002</c:v>
                </c:pt>
                <c:pt idx="154">
                  <c:v>0.34799999999999998</c:v>
                </c:pt>
                <c:pt idx="155">
                  <c:v>0.39600000000000002</c:v>
                </c:pt>
                <c:pt idx="156">
                  <c:v>0.34200000000000003</c:v>
                </c:pt>
                <c:pt idx="157">
                  <c:v>0.32300000000000001</c:v>
                </c:pt>
                <c:pt idx="158">
                  <c:v>0.40100000000000002</c:v>
                </c:pt>
                <c:pt idx="159">
                  <c:v>0.35799999999999998</c:v>
                </c:pt>
                <c:pt idx="160">
                  <c:v>0.43099999999999999</c:v>
                </c:pt>
                <c:pt idx="161">
                  <c:v>0.41799999999999998</c:v>
                </c:pt>
                <c:pt idx="162">
                  <c:v>0.371</c:v>
                </c:pt>
                <c:pt idx="163">
                  <c:v>0.36499999999999999</c:v>
                </c:pt>
                <c:pt idx="164">
                  <c:v>0.38100000000000001</c:v>
                </c:pt>
                <c:pt idx="165">
                  <c:v>0.36399999999999999</c:v>
                </c:pt>
                <c:pt idx="166">
                  <c:v>0.36499999999999999</c:v>
                </c:pt>
                <c:pt idx="167">
                  <c:v>0.36499999999999999</c:v>
                </c:pt>
                <c:pt idx="168">
                  <c:v>0.40300000000000002</c:v>
                </c:pt>
                <c:pt idx="169">
                  <c:v>0.372</c:v>
                </c:pt>
                <c:pt idx="170">
                  <c:v>0.41599999999999998</c:v>
                </c:pt>
                <c:pt idx="171">
                  <c:v>0.41499999999999998</c:v>
                </c:pt>
                <c:pt idx="172">
                  <c:v>0.42399999999999999</c:v>
                </c:pt>
                <c:pt idx="173">
                  <c:v>0.40500000000000003</c:v>
                </c:pt>
                <c:pt idx="174">
                  <c:v>0.38800000000000001</c:v>
                </c:pt>
                <c:pt idx="175">
                  <c:v>0.433</c:v>
                </c:pt>
                <c:pt idx="176">
                  <c:v>0.42799999999999999</c:v>
                </c:pt>
                <c:pt idx="177">
                  <c:v>0.39200000000000002</c:v>
                </c:pt>
                <c:pt idx="178">
                  <c:v>0.43099999999999999</c:v>
                </c:pt>
                <c:pt idx="179">
                  <c:v>0.378</c:v>
                </c:pt>
                <c:pt idx="180">
                  <c:v>0.379</c:v>
                </c:pt>
                <c:pt idx="181">
                  <c:v>0.45100000000000001</c:v>
                </c:pt>
                <c:pt idx="182">
                  <c:v>0.40100000000000002</c:v>
                </c:pt>
                <c:pt idx="183">
                  <c:v>0.434</c:v>
                </c:pt>
                <c:pt idx="184">
                  <c:v>0.436</c:v>
                </c:pt>
                <c:pt idx="185">
                  <c:v>0.42799999999999999</c:v>
                </c:pt>
                <c:pt idx="186">
                  <c:v>0.38100000000000001</c:v>
                </c:pt>
                <c:pt idx="187">
                  <c:v>0.44900000000000001</c:v>
                </c:pt>
                <c:pt idx="188">
                  <c:v>0.40100000000000002</c:v>
                </c:pt>
                <c:pt idx="189">
                  <c:v>0.40100000000000002</c:v>
                </c:pt>
                <c:pt idx="190">
                  <c:v>0.49199999999999999</c:v>
                </c:pt>
                <c:pt idx="191">
                  <c:v>0.49</c:v>
                </c:pt>
                <c:pt idx="192">
                  <c:v>0.44</c:v>
                </c:pt>
                <c:pt idx="193">
                  <c:v>0.47299999999999998</c:v>
                </c:pt>
                <c:pt idx="194">
                  <c:v>0.42599999999999999</c:v>
                </c:pt>
                <c:pt idx="195">
                  <c:v>0.441</c:v>
                </c:pt>
                <c:pt idx="196">
                  <c:v>0.46700000000000003</c:v>
                </c:pt>
                <c:pt idx="197">
                  <c:v>0.41399999999999998</c:v>
                </c:pt>
                <c:pt idx="198">
                  <c:v>0.48299999999999998</c:v>
                </c:pt>
              </c:numCache>
            </c:numRef>
          </c:val>
          <c:smooth val="0"/>
        </c:ser>
        <c:ser>
          <c:idx val="1"/>
          <c:order val="1"/>
          <c:spPr>
            <a:ln w="28800">
              <a:solidFill>
                <a:srgbClr val="FF420E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Sheet1!$E$1:$E$199</c:f>
              <c:numCache>
                <c:formatCode>General</c:formatCode>
                <c:ptCount val="199"/>
                <c:pt idx="0">
                  <c:v>7.2999999999999995E-2</c:v>
                </c:pt>
                <c:pt idx="1">
                  <c:v>0.121</c:v>
                </c:pt>
                <c:pt idx="2">
                  <c:v>0.186</c:v>
                </c:pt>
                <c:pt idx="3">
                  <c:v>0.223</c:v>
                </c:pt>
                <c:pt idx="4">
                  <c:v>0.245</c:v>
                </c:pt>
                <c:pt idx="5">
                  <c:v>0.28699999999999998</c:v>
                </c:pt>
                <c:pt idx="6">
                  <c:v>0.32500000000000001</c:v>
                </c:pt>
                <c:pt idx="7">
                  <c:v>0.34799999999999998</c:v>
                </c:pt>
                <c:pt idx="8">
                  <c:v>0.38300000000000001</c:v>
                </c:pt>
                <c:pt idx="9">
                  <c:v>0.443</c:v>
                </c:pt>
                <c:pt idx="10">
                  <c:v>0.435</c:v>
                </c:pt>
                <c:pt idx="11">
                  <c:v>0.49299999999999999</c:v>
                </c:pt>
                <c:pt idx="12">
                  <c:v>0.48099999999999998</c:v>
                </c:pt>
                <c:pt idx="13">
                  <c:v>0.53300000000000003</c:v>
                </c:pt>
                <c:pt idx="14">
                  <c:v>0.51100000000000001</c:v>
                </c:pt>
                <c:pt idx="15">
                  <c:v>0.51500000000000001</c:v>
                </c:pt>
                <c:pt idx="16">
                  <c:v>0.52700000000000002</c:v>
                </c:pt>
                <c:pt idx="17">
                  <c:v>0.58699999999999997</c:v>
                </c:pt>
                <c:pt idx="18">
                  <c:v>0.60399999999999998</c:v>
                </c:pt>
                <c:pt idx="19">
                  <c:v>0.61</c:v>
                </c:pt>
                <c:pt idx="20">
                  <c:v>0.61899999999999999</c:v>
                </c:pt>
                <c:pt idx="21">
                  <c:v>0.65900000000000003</c:v>
                </c:pt>
                <c:pt idx="22">
                  <c:v>0.65100000000000002</c:v>
                </c:pt>
                <c:pt idx="23">
                  <c:v>0.625</c:v>
                </c:pt>
                <c:pt idx="24">
                  <c:v>0.65800000000000003</c:v>
                </c:pt>
                <c:pt idx="25">
                  <c:v>0.64400000000000002</c:v>
                </c:pt>
                <c:pt idx="26">
                  <c:v>0.66700000000000004</c:v>
                </c:pt>
                <c:pt idx="27">
                  <c:v>0.68</c:v>
                </c:pt>
                <c:pt idx="28">
                  <c:v>0.69399999999999995</c:v>
                </c:pt>
                <c:pt idx="29">
                  <c:v>0.72899999999999998</c:v>
                </c:pt>
                <c:pt idx="30">
                  <c:v>0.67800000000000005</c:v>
                </c:pt>
                <c:pt idx="31">
                  <c:v>0.72299999999999998</c:v>
                </c:pt>
                <c:pt idx="32">
                  <c:v>0.70399999999999996</c:v>
                </c:pt>
                <c:pt idx="33">
                  <c:v>0.73699999999999999</c:v>
                </c:pt>
                <c:pt idx="34">
                  <c:v>0.72099999999999997</c:v>
                </c:pt>
                <c:pt idx="35">
                  <c:v>0.752</c:v>
                </c:pt>
                <c:pt idx="36">
                  <c:v>0.76</c:v>
                </c:pt>
                <c:pt idx="37">
                  <c:v>0.74199999999999999</c:v>
                </c:pt>
                <c:pt idx="38">
                  <c:v>0.753</c:v>
                </c:pt>
                <c:pt idx="39">
                  <c:v>0.76</c:v>
                </c:pt>
                <c:pt idx="40">
                  <c:v>0.749</c:v>
                </c:pt>
                <c:pt idx="41">
                  <c:v>0.76800000000000002</c:v>
                </c:pt>
                <c:pt idx="42">
                  <c:v>0.78600000000000003</c:v>
                </c:pt>
                <c:pt idx="43">
                  <c:v>0.76600000000000001</c:v>
                </c:pt>
                <c:pt idx="44">
                  <c:v>0.79300000000000004</c:v>
                </c:pt>
                <c:pt idx="45">
                  <c:v>0.78300000000000003</c:v>
                </c:pt>
                <c:pt idx="46">
                  <c:v>0.78700000000000003</c:v>
                </c:pt>
                <c:pt idx="47">
                  <c:v>0.78700000000000003</c:v>
                </c:pt>
                <c:pt idx="48">
                  <c:v>0.79800000000000004</c:v>
                </c:pt>
                <c:pt idx="49">
                  <c:v>0.76</c:v>
                </c:pt>
                <c:pt idx="50">
                  <c:v>0.78</c:v>
                </c:pt>
                <c:pt idx="51">
                  <c:v>0.78800000000000003</c:v>
                </c:pt>
                <c:pt idx="52">
                  <c:v>0.80600000000000005</c:v>
                </c:pt>
                <c:pt idx="53">
                  <c:v>0.76400000000000001</c:v>
                </c:pt>
                <c:pt idx="54">
                  <c:v>0.78500000000000003</c:v>
                </c:pt>
                <c:pt idx="55">
                  <c:v>0.80400000000000005</c:v>
                </c:pt>
                <c:pt idx="56">
                  <c:v>0.79700000000000004</c:v>
                </c:pt>
                <c:pt idx="57">
                  <c:v>0.80500000000000005</c:v>
                </c:pt>
                <c:pt idx="58">
                  <c:v>0.79700000000000004</c:v>
                </c:pt>
                <c:pt idx="59">
                  <c:v>0.77900000000000003</c:v>
                </c:pt>
                <c:pt idx="60">
                  <c:v>0.80900000000000005</c:v>
                </c:pt>
                <c:pt idx="61">
                  <c:v>0.79200000000000004</c:v>
                </c:pt>
                <c:pt idx="62">
                  <c:v>0.78100000000000003</c:v>
                </c:pt>
                <c:pt idx="63">
                  <c:v>0.8</c:v>
                </c:pt>
                <c:pt idx="64">
                  <c:v>0.78800000000000003</c:v>
                </c:pt>
                <c:pt idx="65">
                  <c:v>0.79500000000000004</c:v>
                </c:pt>
                <c:pt idx="66">
                  <c:v>0.80200000000000005</c:v>
                </c:pt>
                <c:pt idx="67">
                  <c:v>0.79300000000000004</c:v>
                </c:pt>
                <c:pt idx="68">
                  <c:v>0.81</c:v>
                </c:pt>
                <c:pt idx="69">
                  <c:v>0.76900000000000002</c:v>
                </c:pt>
                <c:pt idx="70">
                  <c:v>0.78200000000000003</c:v>
                </c:pt>
                <c:pt idx="71">
                  <c:v>0.81399999999999995</c:v>
                </c:pt>
                <c:pt idx="72">
                  <c:v>0.78500000000000003</c:v>
                </c:pt>
                <c:pt idx="73">
                  <c:v>0.79800000000000004</c:v>
                </c:pt>
                <c:pt idx="74">
                  <c:v>0.80800000000000005</c:v>
                </c:pt>
                <c:pt idx="75">
                  <c:v>0.78900000000000003</c:v>
                </c:pt>
                <c:pt idx="76">
                  <c:v>0.78100000000000003</c:v>
                </c:pt>
                <c:pt idx="77">
                  <c:v>0.79300000000000004</c:v>
                </c:pt>
                <c:pt idx="78">
                  <c:v>0.77100000000000002</c:v>
                </c:pt>
                <c:pt idx="79">
                  <c:v>0.80200000000000005</c:v>
                </c:pt>
                <c:pt idx="80">
                  <c:v>0.76800000000000002</c:v>
                </c:pt>
                <c:pt idx="81">
                  <c:v>0.77900000000000003</c:v>
                </c:pt>
                <c:pt idx="82">
                  <c:v>0.81799999999999995</c:v>
                </c:pt>
                <c:pt idx="83">
                  <c:v>0.79400000000000004</c:v>
                </c:pt>
                <c:pt idx="84">
                  <c:v>0.78900000000000003</c:v>
                </c:pt>
                <c:pt idx="85">
                  <c:v>0.78200000000000003</c:v>
                </c:pt>
                <c:pt idx="86">
                  <c:v>0.78200000000000003</c:v>
                </c:pt>
                <c:pt idx="87">
                  <c:v>0.80100000000000005</c:v>
                </c:pt>
                <c:pt idx="88">
                  <c:v>0.748</c:v>
                </c:pt>
                <c:pt idx="89">
                  <c:v>0.746</c:v>
                </c:pt>
                <c:pt idx="90">
                  <c:v>0.751</c:v>
                </c:pt>
                <c:pt idx="91">
                  <c:v>0.74299999999999999</c:v>
                </c:pt>
                <c:pt idx="92">
                  <c:v>0.753</c:v>
                </c:pt>
                <c:pt idx="93">
                  <c:v>0.72499999999999998</c:v>
                </c:pt>
                <c:pt idx="94">
                  <c:v>0.73399999999999999</c:v>
                </c:pt>
                <c:pt idx="95">
                  <c:v>0.77300000000000002</c:v>
                </c:pt>
                <c:pt idx="96">
                  <c:v>0.76900000000000002</c:v>
                </c:pt>
                <c:pt idx="97">
                  <c:v>0.748</c:v>
                </c:pt>
                <c:pt idx="98">
                  <c:v>0.74199999999999999</c:v>
                </c:pt>
                <c:pt idx="99">
                  <c:v>0.73899999999999999</c:v>
                </c:pt>
                <c:pt idx="100">
                  <c:v>0.76300000000000001</c:v>
                </c:pt>
                <c:pt idx="101">
                  <c:v>0.71599999999999997</c:v>
                </c:pt>
                <c:pt idx="102">
                  <c:v>0.751</c:v>
                </c:pt>
                <c:pt idx="103">
                  <c:v>0.751</c:v>
                </c:pt>
                <c:pt idx="104">
                  <c:v>0.71399999999999997</c:v>
                </c:pt>
                <c:pt idx="105">
                  <c:v>0.68799999999999994</c:v>
                </c:pt>
                <c:pt idx="106">
                  <c:v>0.71799999999999997</c:v>
                </c:pt>
                <c:pt idx="107">
                  <c:v>0.71499999999999997</c:v>
                </c:pt>
                <c:pt idx="108">
                  <c:v>0.72099999999999997</c:v>
                </c:pt>
                <c:pt idx="109">
                  <c:v>0.7</c:v>
                </c:pt>
                <c:pt idx="110">
                  <c:v>0.73099999999999998</c:v>
                </c:pt>
                <c:pt idx="111">
                  <c:v>0.66700000000000004</c:v>
                </c:pt>
                <c:pt idx="112">
                  <c:v>0.67800000000000005</c:v>
                </c:pt>
                <c:pt idx="113">
                  <c:v>0.71499999999999997</c:v>
                </c:pt>
                <c:pt idx="114">
                  <c:v>0.67400000000000004</c:v>
                </c:pt>
                <c:pt idx="115">
                  <c:v>0.69099999999999995</c:v>
                </c:pt>
                <c:pt idx="116">
                  <c:v>0.67200000000000004</c:v>
                </c:pt>
                <c:pt idx="117">
                  <c:v>0.66300000000000003</c:v>
                </c:pt>
                <c:pt idx="118">
                  <c:v>0.66100000000000003</c:v>
                </c:pt>
                <c:pt idx="119">
                  <c:v>0.72199999999999998</c:v>
                </c:pt>
                <c:pt idx="120">
                  <c:v>0.67</c:v>
                </c:pt>
                <c:pt idx="121">
                  <c:v>0.66600000000000004</c:v>
                </c:pt>
                <c:pt idx="122">
                  <c:v>0.72399999999999998</c:v>
                </c:pt>
                <c:pt idx="123">
                  <c:v>0.67800000000000005</c:v>
                </c:pt>
                <c:pt idx="124">
                  <c:v>0.64900000000000002</c:v>
                </c:pt>
                <c:pt idx="125">
                  <c:v>0.69399999999999995</c:v>
                </c:pt>
                <c:pt idx="126">
                  <c:v>0.63900000000000001</c:v>
                </c:pt>
                <c:pt idx="127">
                  <c:v>0.63700000000000001</c:v>
                </c:pt>
                <c:pt idx="128">
                  <c:v>0.61199999999999999</c:v>
                </c:pt>
                <c:pt idx="129">
                  <c:v>0.64</c:v>
                </c:pt>
                <c:pt idx="130">
                  <c:v>0.628</c:v>
                </c:pt>
                <c:pt idx="131">
                  <c:v>0.622</c:v>
                </c:pt>
                <c:pt idx="132">
                  <c:v>0.64</c:v>
                </c:pt>
                <c:pt idx="133">
                  <c:v>0.61199999999999999</c:v>
                </c:pt>
                <c:pt idx="134">
                  <c:v>0.66</c:v>
                </c:pt>
                <c:pt idx="135">
                  <c:v>0.63600000000000001</c:v>
                </c:pt>
                <c:pt idx="136">
                  <c:v>0.63</c:v>
                </c:pt>
                <c:pt idx="137">
                  <c:v>0.625</c:v>
                </c:pt>
                <c:pt idx="138">
                  <c:v>0.59599999999999997</c:v>
                </c:pt>
                <c:pt idx="139">
                  <c:v>0.61</c:v>
                </c:pt>
                <c:pt idx="140">
                  <c:v>0.59499999999999997</c:v>
                </c:pt>
                <c:pt idx="141">
                  <c:v>0.60299999999999998</c:v>
                </c:pt>
                <c:pt idx="142">
                  <c:v>0.60099999999999998</c:v>
                </c:pt>
                <c:pt idx="143">
                  <c:v>0.58799999999999997</c:v>
                </c:pt>
                <c:pt idx="144">
                  <c:v>0.62</c:v>
                </c:pt>
                <c:pt idx="145">
                  <c:v>0.628</c:v>
                </c:pt>
                <c:pt idx="146">
                  <c:v>0.59499999999999997</c:v>
                </c:pt>
                <c:pt idx="147">
                  <c:v>0.60899999999999999</c:v>
                </c:pt>
                <c:pt idx="148">
                  <c:v>0.61799999999999999</c:v>
                </c:pt>
                <c:pt idx="149">
                  <c:v>0.624</c:v>
                </c:pt>
                <c:pt idx="150">
                  <c:v>0.58799999999999997</c:v>
                </c:pt>
                <c:pt idx="151">
                  <c:v>0.57999999999999996</c:v>
                </c:pt>
                <c:pt idx="152">
                  <c:v>0.55200000000000005</c:v>
                </c:pt>
                <c:pt idx="153">
                  <c:v>0.59199999999999997</c:v>
                </c:pt>
                <c:pt idx="154">
                  <c:v>0.57299999999999995</c:v>
                </c:pt>
                <c:pt idx="155">
                  <c:v>0.54200000000000004</c:v>
                </c:pt>
                <c:pt idx="156">
                  <c:v>0.59699999999999998</c:v>
                </c:pt>
                <c:pt idx="157">
                  <c:v>0.6</c:v>
                </c:pt>
                <c:pt idx="158">
                  <c:v>0.54300000000000004</c:v>
                </c:pt>
                <c:pt idx="159">
                  <c:v>0.57599999999999996</c:v>
                </c:pt>
                <c:pt idx="160">
                  <c:v>0.51100000000000001</c:v>
                </c:pt>
                <c:pt idx="161">
                  <c:v>0.51700000000000002</c:v>
                </c:pt>
                <c:pt idx="162">
                  <c:v>0.56499999999999995</c:v>
                </c:pt>
                <c:pt idx="163">
                  <c:v>0.56599999999999995</c:v>
                </c:pt>
                <c:pt idx="164">
                  <c:v>0.55600000000000005</c:v>
                </c:pt>
                <c:pt idx="165">
                  <c:v>0.57499999999999996</c:v>
                </c:pt>
                <c:pt idx="166">
                  <c:v>0.56599999999999995</c:v>
                </c:pt>
                <c:pt idx="167">
                  <c:v>0.56999999999999995</c:v>
                </c:pt>
                <c:pt idx="168">
                  <c:v>0.54300000000000004</c:v>
                </c:pt>
                <c:pt idx="169">
                  <c:v>0.57599999999999996</c:v>
                </c:pt>
                <c:pt idx="170">
                  <c:v>0.52500000000000002</c:v>
                </c:pt>
                <c:pt idx="171">
                  <c:v>0.53700000000000003</c:v>
                </c:pt>
                <c:pt idx="172">
                  <c:v>0.51300000000000001</c:v>
                </c:pt>
                <c:pt idx="173">
                  <c:v>0.53400000000000003</c:v>
                </c:pt>
                <c:pt idx="174">
                  <c:v>0.55600000000000005</c:v>
                </c:pt>
                <c:pt idx="175">
                  <c:v>0.51700000000000002</c:v>
                </c:pt>
                <c:pt idx="176">
                  <c:v>0.52400000000000002</c:v>
                </c:pt>
                <c:pt idx="177">
                  <c:v>0.53900000000000003</c:v>
                </c:pt>
                <c:pt idx="178">
                  <c:v>0.50800000000000001</c:v>
                </c:pt>
                <c:pt idx="179">
                  <c:v>0.55600000000000005</c:v>
                </c:pt>
                <c:pt idx="180">
                  <c:v>0.56200000000000006</c:v>
                </c:pt>
                <c:pt idx="181">
                  <c:v>0.50800000000000001</c:v>
                </c:pt>
                <c:pt idx="182">
                  <c:v>0.54700000000000004</c:v>
                </c:pt>
                <c:pt idx="183">
                  <c:v>0.50800000000000001</c:v>
                </c:pt>
                <c:pt idx="184">
                  <c:v>0.50700000000000001</c:v>
                </c:pt>
                <c:pt idx="185">
                  <c:v>0.51400000000000001</c:v>
                </c:pt>
                <c:pt idx="186">
                  <c:v>0.55400000000000005</c:v>
                </c:pt>
                <c:pt idx="187">
                  <c:v>0.495</c:v>
                </c:pt>
                <c:pt idx="188">
                  <c:v>0.55000000000000004</c:v>
                </c:pt>
                <c:pt idx="189">
                  <c:v>0.53900000000000003</c:v>
                </c:pt>
                <c:pt idx="190">
                  <c:v>0.46500000000000002</c:v>
                </c:pt>
                <c:pt idx="191">
                  <c:v>0.46800000000000003</c:v>
                </c:pt>
                <c:pt idx="192">
                  <c:v>0.502</c:v>
                </c:pt>
                <c:pt idx="193">
                  <c:v>0.47399999999999998</c:v>
                </c:pt>
                <c:pt idx="194">
                  <c:v>0.51200000000000001</c:v>
                </c:pt>
                <c:pt idx="195">
                  <c:v>0.50600000000000001</c:v>
                </c:pt>
                <c:pt idx="196">
                  <c:v>0.47799999999999998</c:v>
                </c:pt>
                <c:pt idx="197">
                  <c:v>0.51800000000000002</c:v>
                </c:pt>
                <c:pt idx="198">
                  <c:v>0.46800000000000003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56409600"/>
        <c:axId val="56093504"/>
      </c:lineChart>
      <c:catAx>
        <c:axId val="56409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56093504"/>
        <c:crosses val="autoZero"/>
        <c:auto val="1"/>
        <c:lblAlgn val="ctr"/>
        <c:lblOffset val="100"/>
        <c:noMultiLvlLbl val="1"/>
      </c:catAx>
      <c:valAx>
        <c:axId val="5609350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5640960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c:style val="2"/>
  <c:chart>
    <c:autoTitleDeleted val="1"/>
    <c:plotArea>
      <c:layout/>
      <c:lineChart>
        <c:grouping val="standard"/>
        <c:varyColors val="1"/>
        <c:ser>
          <c:idx val="0"/>
          <c:order val="0"/>
          <c:spPr>
            <a:ln w="28800">
              <a:solidFill>
                <a:srgbClr val="FFD320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Sheet1!$S$1:$S$200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2E-3</c:v>
                </c:pt>
                <c:pt idx="31">
                  <c:v>0</c:v>
                </c:pt>
                <c:pt idx="32">
                  <c:v>0</c:v>
                </c:pt>
                <c:pt idx="33">
                  <c:v>5.0000000000000001E-3</c:v>
                </c:pt>
                <c:pt idx="34">
                  <c:v>0</c:v>
                </c:pt>
                <c:pt idx="35">
                  <c:v>8.0000000000000002E-3</c:v>
                </c:pt>
                <c:pt idx="36">
                  <c:v>6.0000000000000001E-3</c:v>
                </c:pt>
                <c:pt idx="37">
                  <c:v>2E-3</c:v>
                </c:pt>
                <c:pt idx="38">
                  <c:v>1E-3</c:v>
                </c:pt>
                <c:pt idx="39">
                  <c:v>0</c:v>
                </c:pt>
                <c:pt idx="40">
                  <c:v>1.2E-2</c:v>
                </c:pt>
                <c:pt idx="41">
                  <c:v>0</c:v>
                </c:pt>
                <c:pt idx="42">
                  <c:v>1.4E-2</c:v>
                </c:pt>
                <c:pt idx="43">
                  <c:v>2E-3</c:v>
                </c:pt>
                <c:pt idx="44">
                  <c:v>4.0000000000000001E-3</c:v>
                </c:pt>
                <c:pt idx="45">
                  <c:v>8.9999999999999993E-3</c:v>
                </c:pt>
                <c:pt idx="46">
                  <c:v>1.6E-2</c:v>
                </c:pt>
                <c:pt idx="47">
                  <c:v>2.1999999999999999E-2</c:v>
                </c:pt>
                <c:pt idx="48">
                  <c:v>2.7E-2</c:v>
                </c:pt>
                <c:pt idx="49">
                  <c:v>2.1000000000000001E-2</c:v>
                </c:pt>
                <c:pt idx="50">
                  <c:v>0.04</c:v>
                </c:pt>
                <c:pt idx="51">
                  <c:v>6.0000000000000001E-3</c:v>
                </c:pt>
                <c:pt idx="52">
                  <c:v>1.4999999999999999E-2</c:v>
                </c:pt>
                <c:pt idx="53">
                  <c:v>2.3E-2</c:v>
                </c:pt>
                <c:pt idx="54">
                  <c:v>2.5000000000000001E-2</c:v>
                </c:pt>
                <c:pt idx="55">
                  <c:v>1.4E-2</c:v>
                </c:pt>
                <c:pt idx="56">
                  <c:v>3.4000000000000002E-2</c:v>
                </c:pt>
                <c:pt idx="57">
                  <c:v>3.4000000000000002E-2</c:v>
                </c:pt>
                <c:pt idx="58">
                  <c:v>2.3E-2</c:v>
                </c:pt>
                <c:pt idx="59">
                  <c:v>2.5999999999999999E-2</c:v>
                </c:pt>
                <c:pt idx="60">
                  <c:v>1.6E-2</c:v>
                </c:pt>
                <c:pt idx="61">
                  <c:v>5.1999999999999998E-2</c:v>
                </c:pt>
                <c:pt idx="62">
                  <c:v>3.2000000000000001E-2</c:v>
                </c:pt>
                <c:pt idx="63">
                  <c:v>3.1E-2</c:v>
                </c:pt>
                <c:pt idx="64">
                  <c:v>0.05</c:v>
                </c:pt>
                <c:pt idx="65">
                  <c:v>4.5999999999999999E-2</c:v>
                </c:pt>
                <c:pt idx="66">
                  <c:v>3.5000000000000003E-2</c:v>
                </c:pt>
                <c:pt idx="67">
                  <c:v>6.3E-2</c:v>
                </c:pt>
                <c:pt idx="68">
                  <c:v>3.9E-2</c:v>
                </c:pt>
                <c:pt idx="69">
                  <c:v>0.106</c:v>
                </c:pt>
                <c:pt idx="70">
                  <c:v>8.6999999999999994E-2</c:v>
                </c:pt>
                <c:pt idx="71">
                  <c:v>0.06</c:v>
                </c:pt>
                <c:pt idx="72">
                  <c:v>4.2999999999999997E-2</c:v>
                </c:pt>
                <c:pt idx="73">
                  <c:v>8.5999999999999993E-2</c:v>
                </c:pt>
                <c:pt idx="74">
                  <c:v>9.1999999999999998E-2</c:v>
                </c:pt>
                <c:pt idx="75">
                  <c:v>6.3E-2</c:v>
                </c:pt>
                <c:pt idx="76">
                  <c:v>5.2999999999999999E-2</c:v>
                </c:pt>
                <c:pt idx="77">
                  <c:v>7.9000000000000001E-2</c:v>
                </c:pt>
                <c:pt idx="78">
                  <c:v>6.2E-2</c:v>
                </c:pt>
                <c:pt idx="79">
                  <c:v>0.114</c:v>
                </c:pt>
                <c:pt idx="80">
                  <c:v>9.6000000000000002E-2</c:v>
                </c:pt>
                <c:pt idx="81">
                  <c:v>5.8999999999999997E-2</c:v>
                </c:pt>
                <c:pt idx="82">
                  <c:v>0.124</c:v>
                </c:pt>
                <c:pt idx="83">
                  <c:v>0.106</c:v>
                </c:pt>
                <c:pt idx="84">
                  <c:v>0.108</c:v>
                </c:pt>
                <c:pt idx="85">
                  <c:v>0.11</c:v>
                </c:pt>
                <c:pt idx="86">
                  <c:v>7.0000000000000007E-2</c:v>
                </c:pt>
                <c:pt idx="87">
                  <c:v>0.113</c:v>
                </c:pt>
                <c:pt idx="88">
                  <c:v>0.127</c:v>
                </c:pt>
                <c:pt idx="89">
                  <c:v>0.125</c:v>
                </c:pt>
                <c:pt idx="90">
                  <c:v>0.129</c:v>
                </c:pt>
                <c:pt idx="91">
                  <c:v>0.13300000000000001</c:v>
                </c:pt>
                <c:pt idx="92">
                  <c:v>0.16900000000000001</c:v>
                </c:pt>
                <c:pt idx="93">
                  <c:v>0.156</c:v>
                </c:pt>
                <c:pt idx="94">
                  <c:v>8.8999999999999996E-2</c:v>
                </c:pt>
                <c:pt idx="95">
                  <c:v>0.14599999999999999</c:v>
                </c:pt>
                <c:pt idx="96">
                  <c:v>0.126</c:v>
                </c:pt>
                <c:pt idx="97">
                  <c:v>0.13100000000000001</c:v>
                </c:pt>
                <c:pt idx="98">
                  <c:v>0.188</c:v>
                </c:pt>
                <c:pt idx="99">
                  <c:v>0.114</c:v>
                </c:pt>
                <c:pt idx="100">
                  <c:v>0.16</c:v>
                </c:pt>
                <c:pt idx="101">
                  <c:v>0.192</c:v>
                </c:pt>
                <c:pt idx="102">
                  <c:v>0.16700000000000001</c:v>
                </c:pt>
                <c:pt idx="103">
                  <c:v>0.16900000000000001</c:v>
                </c:pt>
                <c:pt idx="104">
                  <c:v>0.248</c:v>
                </c:pt>
                <c:pt idx="105">
                  <c:v>0.223</c:v>
                </c:pt>
                <c:pt idx="106">
                  <c:v>0.16600000000000001</c:v>
                </c:pt>
                <c:pt idx="107">
                  <c:v>0.221</c:v>
                </c:pt>
                <c:pt idx="108">
                  <c:v>0.2</c:v>
                </c:pt>
                <c:pt idx="109">
                  <c:v>0.20200000000000001</c:v>
                </c:pt>
                <c:pt idx="110">
                  <c:v>0.19500000000000001</c:v>
                </c:pt>
                <c:pt idx="111">
                  <c:v>0.23</c:v>
                </c:pt>
                <c:pt idx="112">
                  <c:v>0.191</c:v>
                </c:pt>
                <c:pt idx="113">
                  <c:v>0.22</c:v>
                </c:pt>
                <c:pt idx="114">
                  <c:v>0.22</c:v>
                </c:pt>
                <c:pt idx="115">
                  <c:v>0.22700000000000001</c:v>
                </c:pt>
                <c:pt idx="116">
                  <c:v>0.218</c:v>
                </c:pt>
                <c:pt idx="117">
                  <c:v>0.22700000000000001</c:v>
                </c:pt>
                <c:pt idx="118">
                  <c:v>0.22800000000000001</c:v>
                </c:pt>
                <c:pt idx="119">
                  <c:v>0.20699999999999999</c:v>
                </c:pt>
                <c:pt idx="120">
                  <c:v>0.20300000000000001</c:v>
                </c:pt>
                <c:pt idx="121">
                  <c:v>0.22600000000000001</c:v>
                </c:pt>
                <c:pt idx="122">
                  <c:v>0.27700000000000002</c:v>
                </c:pt>
                <c:pt idx="123">
                  <c:v>0.20899999999999999</c:v>
                </c:pt>
                <c:pt idx="124">
                  <c:v>0.27600000000000002</c:v>
                </c:pt>
                <c:pt idx="125">
                  <c:v>0.30099999999999999</c:v>
                </c:pt>
                <c:pt idx="126">
                  <c:v>0.3</c:v>
                </c:pt>
                <c:pt idx="127">
                  <c:v>0.29599999999999999</c:v>
                </c:pt>
                <c:pt idx="128">
                  <c:v>0.26700000000000002</c:v>
                </c:pt>
                <c:pt idx="129">
                  <c:v>0.221</c:v>
                </c:pt>
                <c:pt idx="130">
                  <c:v>0.27900000000000003</c:v>
                </c:pt>
                <c:pt idx="131">
                  <c:v>0.30399999999999999</c:v>
                </c:pt>
                <c:pt idx="132">
                  <c:v>0.30099999999999999</c:v>
                </c:pt>
                <c:pt idx="133">
                  <c:v>0.32300000000000001</c:v>
                </c:pt>
                <c:pt idx="134">
                  <c:v>0.27400000000000002</c:v>
                </c:pt>
                <c:pt idx="135">
                  <c:v>0.28499999999999998</c:v>
                </c:pt>
                <c:pt idx="136">
                  <c:v>0.317</c:v>
                </c:pt>
                <c:pt idx="137">
                  <c:v>0.32400000000000001</c:v>
                </c:pt>
                <c:pt idx="138">
                  <c:v>0.32</c:v>
                </c:pt>
                <c:pt idx="139">
                  <c:v>0.28100000000000003</c:v>
                </c:pt>
                <c:pt idx="140">
                  <c:v>0.32800000000000001</c:v>
                </c:pt>
                <c:pt idx="141">
                  <c:v>0.315</c:v>
                </c:pt>
                <c:pt idx="142">
                  <c:v>0.33200000000000002</c:v>
                </c:pt>
                <c:pt idx="143">
                  <c:v>0.28699999999999998</c:v>
                </c:pt>
                <c:pt idx="144">
                  <c:v>0.315</c:v>
                </c:pt>
                <c:pt idx="145">
                  <c:v>0.32700000000000001</c:v>
                </c:pt>
                <c:pt idx="146">
                  <c:v>0.33</c:v>
                </c:pt>
                <c:pt idx="147">
                  <c:v>0.39800000000000002</c:v>
                </c:pt>
                <c:pt idx="148">
                  <c:v>0.38700000000000001</c:v>
                </c:pt>
                <c:pt idx="149">
                  <c:v>0.35299999999999998</c:v>
                </c:pt>
                <c:pt idx="150">
                  <c:v>0.34499999999999997</c:v>
                </c:pt>
                <c:pt idx="151">
                  <c:v>0.35499999999999998</c:v>
                </c:pt>
                <c:pt idx="152">
                  <c:v>0.32600000000000001</c:v>
                </c:pt>
                <c:pt idx="153">
                  <c:v>0.31900000000000001</c:v>
                </c:pt>
                <c:pt idx="154">
                  <c:v>0.32100000000000001</c:v>
                </c:pt>
                <c:pt idx="155">
                  <c:v>0.38400000000000001</c:v>
                </c:pt>
                <c:pt idx="156">
                  <c:v>0.34399999999999997</c:v>
                </c:pt>
                <c:pt idx="157">
                  <c:v>0.34899999999999998</c:v>
                </c:pt>
                <c:pt idx="158">
                  <c:v>0.36199999999999999</c:v>
                </c:pt>
                <c:pt idx="159">
                  <c:v>0.38600000000000001</c:v>
                </c:pt>
                <c:pt idx="160">
                  <c:v>0.39300000000000002</c:v>
                </c:pt>
                <c:pt idx="161">
                  <c:v>0.309</c:v>
                </c:pt>
                <c:pt idx="162">
                  <c:v>0.39900000000000002</c:v>
                </c:pt>
                <c:pt idx="163">
                  <c:v>0.49199999999999999</c:v>
                </c:pt>
                <c:pt idx="164">
                  <c:v>0.36</c:v>
                </c:pt>
                <c:pt idx="165">
                  <c:v>0.36399999999999999</c:v>
                </c:pt>
                <c:pt idx="166">
                  <c:v>0.378</c:v>
                </c:pt>
                <c:pt idx="167">
                  <c:v>0.372</c:v>
                </c:pt>
                <c:pt idx="168">
                  <c:v>0.38100000000000001</c:v>
                </c:pt>
                <c:pt idx="169">
                  <c:v>0.35</c:v>
                </c:pt>
                <c:pt idx="170">
                  <c:v>0.38500000000000001</c:v>
                </c:pt>
                <c:pt idx="171">
                  <c:v>0.40500000000000003</c:v>
                </c:pt>
                <c:pt idx="172">
                  <c:v>0.39800000000000002</c:v>
                </c:pt>
                <c:pt idx="173">
                  <c:v>0.41399999999999998</c:v>
                </c:pt>
                <c:pt idx="174">
                  <c:v>0.41099999999999998</c:v>
                </c:pt>
                <c:pt idx="175">
                  <c:v>0.38900000000000001</c:v>
                </c:pt>
                <c:pt idx="176">
                  <c:v>0.42199999999999999</c:v>
                </c:pt>
                <c:pt idx="177">
                  <c:v>0.41499999999999998</c:v>
                </c:pt>
                <c:pt idx="178">
                  <c:v>0.433</c:v>
                </c:pt>
                <c:pt idx="179">
                  <c:v>0.46700000000000003</c:v>
                </c:pt>
                <c:pt idx="180">
                  <c:v>0.378</c:v>
                </c:pt>
                <c:pt idx="181">
                  <c:v>0.45600000000000002</c:v>
                </c:pt>
                <c:pt idx="182">
                  <c:v>0.41</c:v>
                </c:pt>
                <c:pt idx="183">
                  <c:v>0.42399999999999999</c:v>
                </c:pt>
                <c:pt idx="184">
                  <c:v>0.40699999999999997</c:v>
                </c:pt>
                <c:pt idx="185">
                  <c:v>0.46400000000000002</c:v>
                </c:pt>
                <c:pt idx="186">
                  <c:v>0.48399999999999999</c:v>
                </c:pt>
                <c:pt idx="187">
                  <c:v>0.41199999999999998</c:v>
                </c:pt>
                <c:pt idx="188">
                  <c:v>0.442</c:v>
                </c:pt>
                <c:pt idx="189">
                  <c:v>0.45400000000000001</c:v>
                </c:pt>
                <c:pt idx="190">
                  <c:v>0.48499999999999999</c:v>
                </c:pt>
                <c:pt idx="191">
                  <c:v>0.45</c:v>
                </c:pt>
                <c:pt idx="192">
                  <c:v>0.46600000000000003</c:v>
                </c:pt>
                <c:pt idx="193">
                  <c:v>0.40300000000000002</c:v>
                </c:pt>
                <c:pt idx="194">
                  <c:v>0.42699999999999999</c:v>
                </c:pt>
                <c:pt idx="195">
                  <c:v>0.46600000000000003</c:v>
                </c:pt>
                <c:pt idx="196">
                  <c:v>0.47</c:v>
                </c:pt>
                <c:pt idx="197">
                  <c:v>0.48599999999999999</c:v>
                </c:pt>
                <c:pt idx="198">
                  <c:v>0.443</c:v>
                </c:pt>
                <c:pt idx="199">
                  <c:v>0.52100000000000002</c:v>
                </c:pt>
              </c:numCache>
            </c:numRef>
          </c:val>
          <c:smooth val="0"/>
        </c:ser>
        <c:ser>
          <c:idx val="1"/>
          <c:order val="1"/>
          <c:spPr>
            <a:ln w="28800">
              <a:solidFill>
                <a:srgbClr val="7E0021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BubbleSize val="1"/>
            <c:showLeaderLines val="0"/>
          </c:dLbls>
          <c:val>
            <c:numRef>
              <c:f>Sheet1!$U$1:$U$200</c:f>
              <c:numCache>
                <c:formatCode>General</c:formatCode>
                <c:ptCount val="200"/>
                <c:pt idx="0">
                  <c:v>0.06</c:v>
                </c:pt>
                <c:pt idx="1">
                  <c:v>0.104</c:v>
                </c:pt>
                <c:pt idx="2">
                  <c:v>0.156</c:v>
                </c:pt>
                <c:pt idx="3">
                  <c:v>0.23499999999999999</c:v>
                </c:pt>
                <c:pt idx="4">
                  <c:v>0.25900000000000001</c:v>
                </c:pt>
                <c:pt idx="5">
                  <c:v>0.30599999999999999</c:v>
                </c:pt>
                <c:pt idx="6">
                  <c:v>0.309</c:v>
                </c:pt>
                <c:pt idx="7">
                  <c:v>0.34300000000000003</c:v>
                </c:pt>
                <c:pt idx="8">
                  <c:v>0.40699999999999997</c:v>
                </c:pt>
                <c:pt idx="9">
                  <c:v>0.433</c:v>
                </c:pt>
                <c:pt idx="10">
                  <c:v>0.439</c:v>
                </c:pt>
                <c:pt idx="11">
                  <c:v>0.47699999999999998</c:v>
                </c:pt>
                <c:pt idx="12">
                  <c:v>0.47599999999999998</c:v>
                </c:pt>
                <c:pt idx="13">
                  <c:v>0.47299999999999998</c:v>
                </c:pt>
                <c:pt idx="14">
                  <c:v>0.53</c:v>
                </c:pt>
                <c:pt idx="15">
                  <c:v>0.54200000000000004</c:v>
                </c:pt>
                <c:pt idx="16">
                  <c:v>0.54900000000000004</c:v>
                </c:pt>
                <c:pt idx="17">
                  <c:v>0.56599999999999995</c:v>
                </c:pt>
                <c:pt idx="18">
                  <c:v>0.59199999999999997</c:v>
                </c:pt>
                <c:pt idx="19">
                  <c:v>0.58599999999999997</c:v>
                </c:pt>
                <c:pt idx="20">
                  <c:v>0.59199999999999997</c:v>
                </c:pt>
                <c:pt idx="21">
                  <c:v>0.63900000000000001</c:v>
                </c:pt>
                <c:pt idx="22">
                  <c:v>0.623</c:v>
                </c:pt>
                <c:pt idx="23">
                  <c:v>0.65800000000000003</c:v>
                </c:pt>
                <c:pt idx="24">
                  <c:v>0.67100000000000004</c:v>
                </c:pt>
                <c:pt idx="25">
                  <c:v>0.68</c:v>
                </c:pt>
                <c:pt idx="26">
                  <c:v>0.66700000000000004</c:v>
                </c:pt>
                <c:pt idx="27">
                  <c:v>0.69</c:v>
                </c:pt>
                <c:pt idx="28">
                  <c:v>0.70099999999999996</c:v>
                </c:pt>
                <c:pt idx="29">
                  <c:v>0.67</c:v>
                </c:pt>
                <c:pt idx="30">
                  <c:v>0.72499999999999998</c:v>
                </c:pt>
                <c:pt idx="31">
                  <c:v>0.71</c:v>
                </c:pt>
                <c:pt idx="32">
                  <c:v>0.69799999999999995</c:v>
                </c:pt>
                <c:pt idx="33">
                  <c:v>0.76300000000000001</c:v>
                </c:pt>
                <c:pt idx="34">
                  <c:v>0.71499999999999997</c:v>
                </c:pt>
                <c:pt idx="35">
                  <c:v>0.754</c:v>
                </c:pt>
                <c:pt idx="36">
                  <c:v>0.752</c:v>
                </c:pt>
                <c:pt idx="37">
                  <c:v>0.76600000000000001</c:v>
                </c:pt>
                <c:pt idx="38">
                  <c:v>0.73699999999999999</c:v>
                </c:pt>
                <c:pt idx="39">
                  <c:v>0.78600000000000003</c:v>
                </c:pt>
                <c:pt idx="40">
                  <c:v>0.76</c:v>
                </c:pt>
                <c:pt idx="41">
                  <c:v>0.755</c:v>
                </c:pt>
                <c:pt idx="42">
                  <c:v>0.77700000000000002</c:v>
                </c:pt>
                <c:pt idx="43">
                  <c:v>0.76700000000000002</c:v>
                </c:pt>
                <c:pt idx="44">
                  <c:v>0.77400000000000002</c:v>
                </c:pt>
                <c:pt idx="45">
                  <c:v>0.77600000000000002</c:v>
                </c:pt>
                <c:pt idx="46">
                  <c:v>0.76800000000000002</c:v>
                </c:pt>
                <c:pt idx="47">
                  <c:v>0.77300000000000002</c:v>
                </c:pt>
                <c:pt idx="48">
                  <c:v>0.77900000000000003</c:v>
                </c:pt>
                <c:pt idx="49">
                  <c:v>0.77500000000000002</c:v>
                </c:pt>
                <c:pt idx="50">
                  <c:v>0.77400000000000002</c:v>
                </c:pt>
                <c:pt idx="51">
                  <c:v>0.81399999999999995</c:v>
                </c:pt>
                <c:pt idx="52">
                  <c:v>0.79800000000000004</c:v>
                </c:pt>
                <c:pt idx="53">
                  <c:v>0.80500000000000005</c:v>
                </c:pt>
                <c:pt idx="54">
                  <c:v>0.78900000000000003</c:v>
                </c:pt>
                <c:pt idx="55">
                  <c:v>0.81799999999999995</c:v>
                </c:pt>
                <c:pt idx="56">
                  <c:v>0.78200000000000003</c:v>
                </c:pt>
                <c:pt idx="57">
                  <c:v>0.81100000000000005</c:v>
                </c:pt>
                <c:pt idx="58">
                  <c:v>0.79500000000000004</c:v>
                </c:pt>
                <c:pt idx="59">
                  <c:v>0.79700000000000004</c:v>
                </c:pt>
                <c:pt idx="60">
                  <c:v>0.81399999999999995</c:v>
                </c:pt>
                <c:pt idx="61">
                  <c:v>0.78300000000000003</c:v>
                </c:pt>
                <c:pt idx="62">
                  <c:v>0.81100000000000005</c:v>
                </c:pt>
                <c:pt idx="63">
                  <c:v>0.81699999999999995</c:v>
                </c:pt>
                <c:pt idx="64">
                  <c:v>0.82399999999999995</c:v>
                </c:pt>
                <c:pt idx="65">
                  <c:v>0.81299999999999994</c:v>
                </c:pt>
                <c:pt idx="66">
                  <c:v>0.81799999999999995</c:v>
                </c:pt>
                <c:pt idx="67">
                  <c:v>0.79100000000000004</c:v>
                </c:pt>
                <c:pt idx="68">
                  <c:v>0.79600000000000004</c:v>
                </c:pt>
                <c:pt idx="69">
                  <c:v>0.77100000000000002</c:v>
                </c:pt>
                <c:pt idx="70">
                  <c:v>0.77400000000000002</c:v>
                </c:pt>
                <c:pt idx="71">
                  <c:v>0.80800000000000005</c:v>
                </c:pt>
                <c:pt idx="72">
                  <c:v>0.82099999999999995</c:v>
                </c:pt>
                <c:pt idx="73">
                  <c:v>0.78300000000000003</c:v>
                </c:pt>
                <c:pt idx="74">
                  <c:v>0.79200000000000004</c:v>
                </c:pt>
                <c:pt idx="75">
                  <c:v>0.80600000000000005</c:v>
                </c:pt>
                <c:pt idx="76">
                  <c:v>0.8</c:v>
                </c:pt>
                <c:pt idx="77">
                  <c:v>0.78700000000000003</c:v>
                </c:pt>
                <c:pt idx="78">
                  <c:v>0.81499999999999995</c:v>
                </c:pt>
                <c:pt idx="79">
                  <c:v>0.77300000000000002</c:v>
                </c:pt>
                <c:pt idx="80">
                  <c:v>0.77900000000000003</c:v>
                </c:pt>
                <c:pt idx="81">
                  <c:v>0.81799999999999995</c:v>
                </c:pt>
                <c:pt idx="82">
                  <c:v>0.77200000000000002</c:v>
                </c:pt>
                <c:pt idx="83">
                  <c:v>0.78700000000000003</c:v>
                </c:pt>
                <c:pt idx="84">
                  <c:v>0.754</c:v>
                </c:pt>
                <c:pt idx="85">
                  <c:v>0.78200000000000003</c:v>
                </c:pt>
                <c:pt idx="86">
                  <c:v>0.81</c:v>
                </c:pt>
                <c:pt idx="87">
                  <c:v>0.78</c:v>
                </c:pt>
                <c:pt idx="88">
                  <c:v>0.76</c:v>
                </c:pt>
                <c:pt idx="89">
                  <c:v>0.76500000000000001</c:v>
                </c:pt>
                <c:pt idx="90">
                  <c:v>0.76100000000000001</c:v>
                </c:pt>
                <c:pt idx="91">
                  <c:v>0.76</c:v>
                </c:pt>
                <c:pt idx="92">
                  <c:v>0.71699999999999997</c:v>
                </c:pt>
                <c:pt idx="93">
                  <c:v>0.746</c:v>
                </c:pt>
                <c:pt idx="94">
                  <c:v>0.78400000000000003</c:v>
                </c:pt>
                <c:pt idx="95">
                  <c:v>0.73699999999999999</c:v>
                </c:pt>
                <c:pt idx="96">
                  <c:v>0.76600000000000001</c:v>
                </c:pt>
                <c:pt idx="97">
                  <c:v>0.753</c:v>
                </c:pt>
                <c:pt idx="98">
                  <c:v>0.72099999999999997</c:v>
                </c:pt>
                <c:pt idx="99">
                  <c:v>0.77800000000000002</c:v>
                </c:pt>
                <c:pt idx="100">
                  <c:v>0.74</c:v>
                </c:pt>
                <c:pt idx="101">
                  <c:v>0.70399999999999996</c:v>
                </c:pt>
                <c:pt idx="102">
                  <c:v>0.73799999999999999</c:v>
                </c:pt>
                <c:pt idx="103">
                  <c:v>0.747</c:v>
                </c:pt>
                <c:pt idx="104">
                  <c:v>0.66800000000000004</c:v>
                </c:pt>
                <c:pt idx="105">
                  <c:v>0.69699999999999995</c:v>
                </c:pt>
                <c:pt idx="106">
                  <c:v>0.72099999999999997</c:v>
                </c:pt>
                <c:pt idx="107">
                  <c:v>0.67900000000000005</c:v>
                </c:pt>
                <c:pt idx="108">
                  <c:v>0.71</c:v>
                </c:pt>
                <c:pt idx="109">
                  <c:v>0.70099999999999996</c:v>
                </c:pt>
                <c:pt idx="110">
                  <c:v>0.70299999999999996</c:v>
                </c:pt>
                <c:pt idx="111">
                  <c:v>0.68400000000000005</c:v>
                </c:pt>
                <c:pt idx="112">
                  <c:v>0.70699999999999996</c:v>
                </c:pt>
                <c:pt idx="113">
                  <c:v>0.67900000000000005</c:v>
                </c:pt>
                <c:pt idx="114">
                  <c:v>0.68300000000000005</c:v>
                </c:pt>
                <c:pt idx="115">
                  <c:v>0.69099999999999995</c:v>
                </c:pt>
                <c:pt idx="116">
                  <c:v>0.70199999999999996</c:v>
                </c:pt>
                <c:pt idx="117">
                  <c:v>0.69199999999999995</c:v>
                </c:pt>
                <c:pt idx="118">
                  <c:v>0.68799999999999994</c:v>
                </c:pt>
                <c:pt idx="119">
                  <c:v>0.69499999999999995</c:v>
                </c:pt>
                <c:pt idx="120">
                  <c:v>0.70699999999999996</c:v>
                </c:pt>
                <c:pt idx="121">
                  <c:v>0.68200000000000005</c:v>
                </c:pt>
                <c:pt idx="122">
                  <c:v>0.64300000000000002</c:v>
                </c:pt>
                <c:pt idx="123">
                  <c:v>0.69899999999999995</c:v>
                </c:pt>
                <c:pt idx="124">
                  <c:v>0.64100000000000001</c:v>
                </c:pt>
                <c:pt idx="125">
                  <c:v>0.61799999999999999</c:v>
                </c:pt>
                <c:pt idx="126">
                  <c:v>0.623</c:v>
                </c:pt>
                <c:pt idx="127">
                  <c:v>0.624</c:v>
                </c:pt>
                <c:pt idx="128">
                  <c:v>0.64700000000000002</c:v>
                </c:pt>
                <c:pt idx="129">
                  <c:v>0.68799999999999994</c:v>
                </c:pt>
                <c:pt idx="130">
                  <c:v>0.64500000000000002</c:v>
                </c:pt>
                <c:pt idx="131">
                  <c:v>0.61699999999999999</c:v>
                </c:pt>
                <c:pt idx="132">
                  <c:v>0.626</c:v>
                </c:pt>
                <c:pt idx="133">
                  <c:v>0.61</c:v>
                </c:pt>
                <c:pt idx="134">
                  <c:v>0.64</c:v>
                </c:pt>
                <c:pt idx="135">
                  <c:v>0.63500000000000001</c:v>
                </c:pt>
                <c:pt idx="136">
                  <c:v>0.61899999999999999</c:v>
                </c:pt>
                <c:pt idx="137">
                  <c:v>0.61799999999999999</c:v>
                </c:pt>
                <c:pt idx="138">
                  <c:v>0.61399999999999999</c:v>
                </c:pt>
                <c:pt idx="139">
                  <c:v>0.63500000000000001</c:v>
                </c:pt>
                <c:pt idx="140">
                  <c:v>0.61199999999999999</c:v>
                </c:pt>
                <c:pt idx="141">
                  <c:v>0.61299999999999999</c:v>
                </c:pt>
                <c:pt idx="142">
                  <c:v>0.59899999999999998</c:v>
                </c:pt>
                <c:pt idx="143">
                  <c:v>0.622</c:v>
                </c:pt>
                <c:pt idx="144">
                  <c:v>0.61699999999999999</c:v>
                </c:pt>
                <c:pt idx="145">
                  <c:v>0.60899999999999999</c:v>
                </c:pt>
                <c:pt idx="146">
                  <c:v>0.61299999999999999</c:v>
                </c:pt>
                <c:pt idx="147">
                  <c:v>0.55100000000000005</c:v>
                </c:pt>
                <c:pt idx="148">
                  <c:v>0.56100000000000005</c:v>
                </c:pt>
                <c:pt idx="149">
                  <c:v>0.58199999999999996</c:v>
                </c:pt>
                <c:pt idx="150">
                  <c:v>0.58699999999999997</c:v>
                </c:pt>
                <c:pt idx="151">
                  <c:v>0.57399999999999995</c:v>
                </c:pt>
                <c:pt idx="152">
                  <c:v>0.60899999999999999</c:v>
                </c:pt>
                <c:pt idx="153">
                  <c:v>0.59899999999999998</c:v>
                </c:pt>
                <c:pt idx="154">
                  <c:v>0.60299999999999998</c:v>
                </c:pt>
                <c:pt idx="155">
                  <c:v>0.56100000000000005</c:v>
                </c:pt>
                <c:pt idx="156">
                  <c:v>0.58799999999999997</c:v>
                </c:pt>
                <c:pt idx="157">
                  <c:v>0.58599999999999997</c:v>
                </c:pt>
                <c:pt idx="158">
                  <c:v>0.57799999999999996</c:v>
                </c:pt>
                <c:pt idx="159">
                  <c:v>0.54400000000000004</c:v>
                </c:pt>
                <c:pt idx="160">
                  <c:v>0.56100000000000005</c:v>
                </c:pt>
                <c:pt idx="161">
                  <c:v>0.61599999999999999</c:v>
                </c:pt>
                <c:pt idx="162">
                  <c:v>0.54900000000000004</c:v>
                </c:pt>
                <c:pt idx="163">
                  <c:v>0.46100000000000002</c:v>
                </c:pt>
                <c:pt idx="164">
                  <c:v>0.57399999999999995</c:v>
                </c:pt>
                <c:pt idx="165">
                  <c:v>0.57999999999999996</c:v>
                </c:pt>
                <c:pt idx="166">
                  <c:v>0.56299999999999994</c:v>
                </c:pt>
                <c:pt idx="167">
                  <c:v>0.56399999999999995</c:v>
                </c:pt>
                <c:pt idx="168">
                  <c:v>0.55300000000000005</c:v>
                </c:pt>
                <c:pt idx="169">
                  <c:v>0.56499999999999995</c:v>
                </c:pt>
                <c:pt idx="170">
                  <c:v>0.55000000000000004</c:v>
                </c:pt>
                <c:pt idx="171">
                  <c:v>0.53900000000000003</c:v>
                </c:pt>
                <c:pt idx="172">
                  <c:v>0.54100000000000004</c:v>
                </c:pt>
                <c:pt idx="173">
                  <c:v>0.53500000000000003</c:v>
                </c:pt>
                <c:pt idx="174">
                  <c:v>0.52500000000000002</c:v>
                </c:pt>
                <c:pt idx="175">
                  <c:v>0.55200000000000005</c:v>
                </c:pt>
                <c:pt idx="176">
                  <c:v>0.52</c:v>
                </c:pt>
                <c:pt idx="177">
                  <c:v>0.52900000000000003</c:v>
                </c:pt>
                <c:pt idx="178">
                  <c:v>0.505</c:v>
                </c:pt>
                <c:pt idx="179">
                  <c:v>0.47799999999999998</c:v>
                </c:pt>
                <c:pt idx="180">
                  <c:v>0.55100000000000005</c:v>
                </c:pt>
                <c:pt idx="181">
                  <c:v>0.503</c:v>
                </c:pt>
                <c:pt idx="182">
                  <c:v>0.53100000000000003</c:v>
                </c:pt>
                <c:pt idx="183">
                  <c:v>0.52100000000000002</c:v>
                </c:pt>
                <c:pt idx="184">
                  <c:v>0.54600000000000004</c:v>
                </c:pt>
                <c:pt idx="185">
                  <c:v>0.48</c:v>
                </c:pt>
                <c:pt idx="186">
                  <c:v>0.47299999999999998</c:v>
                </c:pt>
                <c:pt idx="187">
                  <c:v>0.53</c:v>
                </c:pt>
                <c:pt idx="188">
                  <c:v>0.50900000000000001</c:v>
                </c:pt>
                <c:pt idx="189">
                  <c:v>0.495</c:v>
                </c:pt>
                <c:pt idx="190">
                  <c:v>0.46800000000000003</c:v>
                </c:pt>
                <c:pt idx="191">
                  <c:v>0.48699999999999999</c:v>
                </c:pt>
                <c:pt idx="192">
                  <c:v>0.48599999999999999</c:v>
                </c:pt>
                <c:pt idx="193">
                  <c:v>0.54400000000000004</c:v>
                </c:pt>
                <c:pt idx="194">
                  <c:v>0.52400000000000002</c:v>
                </c:pt>
                <c:pt idx="195">
                  <c:v>0.49199999999999999</c:v>
                </c:pt>
                <c:pt idx="196">
                  <c:v>0.48399999999999999</c:v>
                </c:pt>
                <c:pt idx="197">
                  <c:v>0.46</c:v>
                </c:pt>
                <c:pt idx="198">
                  <c:v>0.499</c:v>
                </c:pt>
                <c:pt idx="199">
                  <c:v>0.433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>
              <a:noFill/>
            </a:ln>
          </c:spPr>
        </c:hiLowLines>
        <c:marker val="1"/>
        <c:smooth val="0"/>
        <c:axId val="92024832"/>
        <c:axId val="56095232"/>
      </c:lineChart>
      <c:catAx>
        <c:axId val="9202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56095232"/>
        <c:crosses val="autoZero"/>
        <c:auto val="1"/>
        <c:lblAlgn val="ctr"/>
        <c:lblOffset val="100"/>
        <c:noMultiLvlLbl val="1"/>
      </c:catAx>
      <c:valAx>
        <c:axId val="5609523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endParaRPr lang="en-US"/>
          </a:p>
        </c:txPr>
        <c:crossAx val="9202483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  <c:showDLblsOverMax val="1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Pb Sim</c:v>
          </c:tx>
          <c:marker>
            <c:symbol val="none"/>
          </c:marker>
          <c:cat>
            <c:numRef>
              <c:f>Sheet1!$Q$1:$Q$200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Sheet1!$S$1:$S$201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2E-3</c:v>
                </c:pt>
                <c:pt idx="31">
                  <c:v>0</c:v>
                </c:pt>
                <c:pt idx="32">
                  <c:v>0</c:v>
                </c:pt>
                <c:pt idx="33">
                  <c:v>5.0000000000000001E-3</c:v>
                </c:pt>
                <c:pt idx="34">
                  <c:v>0</c:v>
                </c:pt>
                <c:pt idx="35">
                  <c:v>8.0000000000000002E-3</c:v>
                </c:pt>
                <c:pt idx="36">
                  <c:v>6.0000000000000001E-3</c:v>
                </c:pt>
                <c:pt idx="37">
                  <c:v>2E-3</c:v>
                </c:pt>
                <c:pt idx="38">
                  <c:v>1E-3</c:v>
                </c:pt>
                <c:pt idx="39">
                  <c:v>0</c:v>
                </c:pt>
                <c:pt idx="40">
                  <c:v>1.2E-2</c:v>
                </c:pt>
                <c:pt idx="41">
                  <c:v>0</c:v>
                </c:pt>
                <c:pt idx="42">
                  <c:v>1.4E-2</c:v>
                </c:pt>
                <c:pt idx="43">
                  <c:v>2E-3</c:v>
                </c:pt>
                <c:pt idx="44">
                  <c:v>4.0000000000000001E-3</c:v>
                </c:pt>
                <c:pt idx="45">
                  <c:v>8.9999999999999993E-3</c:v>
                </c:pt>
                <c:pt idx="46">
                  <c:v>1.6E-2</c:v>
                </c:pt>
                <c:pt idx="47">
                  <c:v>2.1999999999999999E-2</c:v>
                </c:pt>
                <c:pt idx="48">
                  <c:v>2.7E-2</c:v>
                </c:pt>
                <c:pt idx="49">
                  <c:v>2.1000000000000001E-2</c:v>
                </c:pt>
                <c:pt idx="50">
                  <c:v>0.04</c:v>
                </c:pt>
                <c:pt idx="51">
                  <c:v>6.0000000000000001E-3</c:v>
                </c:pt>
                <c:pt idx="52">
                  <c:v>1.4999999999999999E-2</c:v>
                </c:pt>
                <c:pt idx="53">
                  <c:v>2.3E-2</c:v>
                </c:pt>
                <c:pt idx="54">
                  <c:v>2.5000000000000001E-2</c:v>
                </c:pt>
                <c:pt idx="55">
                  <c:v>1.4E-2</c:v>
                </c:pt>
                <c:pt idx="56">
                  <c:v>3.4000000000000002E-2</c:v>
                </c:pt>
                <c:pt idx="57">
                  <c:v>3.4000000000000002E-2</c:v>
                </c:pt>
                <c:pt idx="58">
                  <c:v>2.3E-2</c:v>
                </c:pt>
                <c:pt idx="59">
                  <c:v>2.5999999999999999E-2</c:v>
                </c:pt>
                <c:pt idx="60">
                  <c:v>1.6E-2</c:v>
                </c:pt>
                <c:pt idx="61">
                  <c:v>5.1999999999999998E-2</c:v>
                </c:pt>
                <c:pt idx="62">
                  <c:v>3.2000000000000001E-2</c:v>
                </c:pt>
                <c:pt idx="63">
                  <c:v>3.1E-2</c:v>
                </c:pt>
                <c:pt idx="64">
                  <c:v>0.05</c:v>
                </c:pt>
                <c:pt idx="65">
                  <c:v>4.5999999999999999E-2</c:v>
                </c:pt>
                <c:pt idx="66">
                  <c:v>3.5000000000000003E-2</c:v>
                </c:pt>
                <c:pt idx="67">
                  <c:v>6.3E-2</c:v>
                </c:pt>
                <c:pt idx="68">
                  <c:v>3.9E-2</c:v>
                </c:pt>
                <c:pt idx="69">
                  <c:v>0.106</c:v>
                </c:pt>
                <c:pt idx="70">
                  <c:v>8.6999999999999994E-2</c:v>
                </c:pt>
                <c:pt idx="71">
                  <c:v>0.06</c:v>
                </c:pt>
                <c:pt idx="72">
                  <c:v>4.2999999999999997E-2</c:v>
                </c:pt>
                <c:pt idx="73">
                  <c:v>8.5999999999999993E-2</c:v>
                </c:pt>
                <c:pt idx="74">
                  <c:v>9.1999999999999998E-2</c:v>
                </c:pt>
                <c:pt idx="75">
                  <c:v>6.3E-2</c:v>
                </c:pt>
                <c:pt idx="76">
                  <c:v>5.2999999999999999E-2</c:v>
                </c:pt>
                <c:pt idx="77">
                  <c:v>7.9000000000000001E-2</c:v>
                </c:pt>
                <c:pt idx="78">
                  <c:v>6.2E-2</c:v>
                </c:pt>
                <c:pt idx="79">
                  <c:v>0.114</c:v>
                </c:pt>
                <c:pt idx="80">
                  <c:v>9.6000000000000002E-2</c:v>
                </c:pt>
                <c:pt idx="81">
                  <c:v>5.8999999999999997E-2</c:v>
                </c:pt>
                <c:pt idx="82">
                  <c:v>0.124</c:v>
                </c:pt>
                <c:pt idx="83">
                  <c:v>0.106</c:v>
                </c:pt>
                <c:pt idx="84">
                  <c:v>0.108</c:v>
                </c:pt>
                <c:pt idx="85">
                  <c:v>0.11</c:v>
                </c:pt>
                <c:pt idx="86">
                  <c:v>7.0000000000000007E-2</c:v>
                </c:pt>
                <c:pt idx="87">
                  <c:v>0.113</c:v>
                </c:pt>
                <c:pt idx="88">
                  <c:v>0.127</c:v>
                </c:pt>
                <c:pt idx="89">
                  <c:v>0.125</c:v>
                </c:pt>
                <c:pt idx="90">
                  <c:v>0.129</c:v>
                </c:pt>
                <c:pt idx="91">
                  <c:v>0.13300000000000001</c:v>
                </c:pt>
                <c:pt idx="92">
                  <c:v>0.16900000000000001</c:v>
                </c:pt>
                <c:pt idx="93">
                  <c:v>0.156</c:v>
                </c:pt>
                <c:pt idx="94">
                  <c:v>8.8999999999999996E-2</c:v>
                </c:pt>
                <c:pt idx="95">
                  <c:v>0.14599999999999999</c:v>
                </c:pt>
                <c:pt idx="96">
                  <c:v>0.126</c:v>
                </c:pt>
                <c:pt idx="97">
                  <c:v>0.13100000000000001</c:v>
                </c:pt>
                <c:pt idx="98">
                  <c:v>0.188</c:v>
                </c:pt>
                <c:pt idx="99">
                  <c:v>0.114</c:v>
                </c:pt>
                <c:pt idx="100">
                  <c:v>0.16</c:v>
                </c:pt>
                <c:pt idx="101">
                  <c:v>0.192</c:v>
                </c:pt>
                <c:pt idx="102">
                  <c:v>0.16700000000000001</c:v>
                </c:pt>
                <c:pt idx="103">
                  <c:v>0.16900000000000001</c:v>
                </c:pt>
                <c:pt idx="104">
                  <c:v>0.248</c:v>
                </c:pt>
                <c:pt idx="105">
                  <c:v>0.223</c:v>
                </c:pt>
                <c:pt idx="106">
                  <c:v>0.16600000000000001</c:v>
                </c:pt>
                <c:pt idx="107">
                  <c:v>0.221</c:v>
                </c:pt>
                <c:pt idx="108">
                  <c:v>0.2</c:v>
                </c:pt>
                <c:pt idx="109">
                  <c:v>0.20200000000000001</c:v>
                </c:pt>
                <c:pt idx="110">
                  <c:v>0.19500000000000001</c:v>
                </c:pt>
                <c:pt idx="111">
                  <c:v>0.23</c:v>
                </c:pt>
                <c:pt idx="112">
                  <c:v>0.191</c:v>
                </c:pt>
                <c:pt idx="113">
                  <c:v>0.22</c:v>
                </c:pt>
                <c:pt idx="114">
                  <c:v>0.22</c:v>
                </c:pt>
                <c:pt idx="115">
                  <c:v>0.22700000000000001</c:v>
                </c:pt>
                <c:pt idx="116">
                  <c:v>0.218</c:v>
                </c:pt>
                <c:pt idx="117">
                  <c:v>0.22700000000000001</c:v>
                </c:pt>
                <c:pt idx="118">
                  <c:v>0.22800000000000001</c:v>
                </c:pt>
                <c:pt idx="119">
                  <c:v>0.20699999999999999</c:v>
                </c:pt>
                <c:pt idx="120">
                  <c:v>0.20300000000000001</c:v>
                </c:pt>
                <c:pt idx="121">
                  <c:v>0.22600000000000001</c:v>
                </c:pt>
                <c:pt idx="122">
                  <c:v>0.27700000000000002</c:v>
                </c:pt>
                <c:pt idx="123">
                  <c:v>0.20899999999999999</c:v>
                </c:pt>
                <c:pt idx="124">
                  <c:v>0.27600000000000002</c:v>
                </c:pt>
                <c:pt idx="125">
                  <c:v>0.30099999999999999</c:v>
                </c:pt>
                <c:pt idx="126">
                  <c:v>0.3</c:v>
                </c:pt>
                <c:pt idx="127">
                  <c:v>0.29599999999999999</c:v>
                </c:pt>
                <c:pt idx="128">
                  <c:v>0.26700000000000002</c:v>
                </c:pt>
                <c:pt idx="129">
                  <c:v>0.221</c:v>
                </c:pt>
                <c:pt idx="130">
                  <c:v>0.27900000000000003</c:v>
                </c:pt>
                <c:pt idx="131">
                  <c:v>0.30399999999999999</c:v>
                </c:pt>
                <c:pt idx="132">
                  <c:v>0.30099999999999999</c:v>
                </c:pt>
                <c:pt idx="133">
                  <c:v>0.32300000000000001</c:v>
                </c:pt>
                <c:pt idx="134">
                  <c:v>0.27400000000000002</c:v>
                </c:pt>
                <c:pt idx="135">
                  <c:v>0.28499999999999998</c:v>
                </c:pt>
                <c:pt idx="136">
                  <c:v>0.317</c:v>
                </c:pt>
                <c:pt idx="137">
                  <c:v>0.32400000000000001</c:v>
                </c:pt>
                <c:pt idx="138">
                  <c:v>0.32</c:v>
                </c:pt>
                <c:pt idx="139">
                  <c:v>0.28100000000000003</c:v>
                </c:pt>
                <c:pt idx="140">
                  <c:v>0.32800000000000001</c:v>
                </c:pt>
                <c:pt idx="141">
                  <c:v>0.315</c:v>
                </c:pt>
                <c:pt idx="142">
                  <c:v>0.33200000000000002</c:v>
                </c:pt>
                <c:pt idx="143">
                  <c:v>0.28699999999999998</c:v>
                </c:pt>
                <c:pt idx="144">
                  <c:v>0.315</c:v>
                </c:pt>
                <c:pt idx="145">
                  <c:v>0.32700000000000001</c:v>
                </c:pt>
                <c:pt idx="146">
                  <c:v>0.33</c:v>
                </c:pt>
                <c:pt idx="147">
                  <c:v>0.39800000000000002</c:v>
                </c:pt>
                <c:pt idx="148">
                  <c:v>0.38700000000000001</c:v>
                </c:pt>
                <c:pt idx="149">
                  <c:v>0.35299999999999998</c:v>
                </c:pt>
                <c:pt idx="150">
                  <c:v>0.34499999999999997</c:v>
                </c:pt>
                <c:pt idx="151">
                  <c:v>0.35499999999999998</c:v>
                </c:pt>
                <c:pt idx="152">
                  <c:v>0.32600000000000001</c:v>
                </c:pt>
                <c:pt idx="153">
                  <c:v>0.31900000000000001</c:v>
                </c:pt>
                <c:pt idx="154">
                  <c:v>0.32100000000000001</c:v>
                </c:pt>
                <c:pt idx="155">
                  <c:v>0.38400000000000001</c:v>
                </c:pt>
                <c:pt idx="156">
                  <c:v>0.34399999999999997</c:v>
                </c:pt>
                <c:pt idx="157">
                  <c:v>0.34899999999999998</c:v>
                </c:pt>
                <c:pt idx="158">
                  <c:v>0.36199999999999999</c:v>
                </c:pt>
                <c:pt idx="159">
                  <c:v>0.38600000000000001</c:v>
                </c:pt>
                <c:pt idx="160">
                  <c:v>0.39300000000000002</c:v>
                </c:pt>
                <c:pt idx="161">
                  <c:v>0.309</c:v>
                </c:pt>
                <c:pt idx="162">
                  <c:v>0.39900000000000002</c:v>
                </c:pt>
                <c:pt idx="163">
                  <c:v>0.49199999999999999</c:v>
                </c:pt>
                <c:pt idx="164">
                  <c:v>0.36</c:v>
                </c:pt>
                <c:pt idx="165">
                  <c:v>0.36399999999999999</c:v>
                </c:pt>
                <c:pt idx="166">
                  <c:v>0.378</c:v>
                </c:pt>
                <c:pt idx="167">
                  <c:v>0.372</c:v>
                </c:pt>
                <c:pt idx="168">
                  <c:v>0.38100000000000001</c:v>
                </c:pt>
                <c:pt idx="169">
                  <c:v>0.35</c:v>
                </c:pt>
                <c:pt idx="170">
                  <c:v>0.38500000000000001</c:v>
                </c:pt>
                <c:pt idx="171">
                  <c:v>0.40500000000000003</c:v>
                </c:pt>
                <c:pt idx="172">
                  <c:v>0.39800000000000002</c:v>
                </c:pt>
                <c:pt idx="173">
                  <c:v>0.41399999999999998</c:v>
                </c:pt>
                <c:pt idx="174">
                  <c:v>0.41099999999999998</c:v>
                </c:pt>
                <c:pt idx="175">
                  <c:v>0.38900000000000001</c:v>
                </c:pt>
                <c:pt idx="176">
                  <c:v>0.42199999999999999</c:v>
                </c:pt>
                <c:pt idx="177">
                  <c:v>0.41499999999999998</c:v>
                </c:pt>
                <c:pt idx="178">
                  <c:v>0.433</c:v>
                </c:pt>
                <c:pt idx="179">
                  <c:v>0.46700000000000003</c:v>
                </c:pt>
                <c:pt idx="180">
                  <c:v>0.378</c:v>
                </c:pt>
                <c:pt idx="181">
                  <c:v>0.45600000000000002</c:v>
                </c:pt>
                <c:pt idx="182">
                  <c:v>0.41</c:v>
                </c:pt>
                <c:pt idx="183">
                  <c:v>0.42399999999999999</c:v>
                </c:pt>
                <c:pt idx="184">
                  <c:v>0.40699999999999997</c:v>
                </c:pt>
                <c:pt idx="185">
                  <c:v>0.46400000000000002</c:v>
                </c:pt>
                <c:pt idx="186">
                  <c:v>0.48399999999999999</c:v>
                </c:pt>
                <c:pt idx="187">
                  <c:v>0.41199999999999998</c:v>
                </c:pt>
                <c:pt idx="188">
                  <c:v>0.442</c:v>
                </c:pt>
                <c:pt idx="189">
                  <c:v>0.45400000000000001</c:v>
                </c:pt>
                <c:pt idx="190">
                  <c:v>0.48499999999999999</c:v>
                </c:pt>
                <c:pt idx="191">
                  <c:v>0.45</c:v>
                </c:pt>
                <c:pt idx="192">
                  <c:v>0.46600000000000003</c:v>
                </c:pt>
                <c:pt idx="193">
                  <c:v>0.40300000000000002</c:v>
                </c:pt>
                <c:pt idx="194">
                  <c:v>0.42699999999999999</c:v>
                </c:pt>
                <c:pt idx="195">
                  <c:v>0.46600000000000003</c:v>
                </c:pt>
                <c:pt idx="196">
                  <c:v>0.47</c:v>
                </c:pt>
                <c:pt idx="197">
                  <c:v>0.48599999999999999</c:v>
                </c:pt>
                <c:pt idx="198">
                  <c:v>0.443</c:v>
                </c:pt>
                <c:pt idx="199">
                  <c:v>0.52100000000000002</c:v>
                </c:pt>
              </c:numCache>
            </c:numRef>
          </c:val>
          <c:smooth val="0"/>
        </c:ser>
        <c:ser>
          <c:idx val="1"/>
          <c:order val="1"/>
          <c:tx>
            <c:v>Pd Sim</c:v>
          </c:tx>
          <c:marker>
            <c:symbol val="none"/>
          </c:marker>
          <c:cat>
            <c:numRef>
              <c:f>Sheet1!$Q$1:$Q$200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Sheet1!$U$1:$U$201</c:f>
              <c:numCache>
                <c:formatCode>General</c:formatCode>
                <c:ptCount val="201"/>
                <c:pt idx="0">
                  <c:v>0.06</c:v>
                </c:pt>
                <c:pt idx="1">
                  <c:v>0.104</c:v>
                </c:pt>
                <c:pt idx="2">
                  <c:v>0.156</c:v>
                </c:pt>
                <c:pt idx="3">
                  <c:v>0.23499999999999999</c:v>
                </c:pt>
                <c:pt idx="4">
                  <c:v>0.25900000000000001</c:v>
                </c:pt>
                <c:pt idx="5">
                  <c:v>0.30599999999999999</c:v>
                </c:pt>
                <c:pt idx="6">
                  <c:v>0.309</c:v>
                </c:pt>
                <c:pt idx="7">
                  <c:v>0.34300000000000003</c:v>
                </c:pt>
                <c:pt idx="8">
                  <c:v>0.40699999999999997</c:v>
                </c:pt>
                <c:pt idx="9">
                  <c:v>0.433</c:v>
                </c:pt>
                <c:pt idx="10">
                  <c:v>0.439</c:v>
                </c:pt>
                <c:pt idx="11">
                  <c:v>0.47699999999999998</c:v>
                </c:pt>
                <c:pt idx="12">
                  <c:v>0.47599999999999998</c:v>
                </c:pt>
                <c:pt idx="13">
                  <c:v>0.47299999999999998</c:v>
                </c:pt>
                <c:pt idx="14">
                  <c:v>0.53</c:v>
                </c:pt>
                <c:pt idx="15">
                  <c:v>0.54200000000000004</c:v>
                </c:pt>
                <c:pt idx="16">
                  <c:v>0.54900000000000004</c:v>
                </c:pt>
                <c:pt idx="17">
                  <c:v>0.56599999999999995</c:v>
                </c:pt>
                <c:pt idx="18">
                  <c:v>0.59199999999999997</c:v>
                </c:pt>
                <c:pt idx="19">
                  <c:v>0.58599999999999997</c:v>
                </c:pt>
                <c:pt idx="20">
                  <c:v>0.59199999999999997</c:v>
                </c:pt>
                <c:pt idx="21">
                  <c:v>0.63900000000000001</c:v>
                </c:pt>
                <c:pt idx="22">
                  <c:v>0.623</c:v>
                </c:pt>
                <c:pt idx="23">
                  <c:v>0.65800000000000003</c:v>
                </c:pt>
                <c:pt idx="24">
                  <c:v>0.67100000000000004</c:v>
                </c:pt>
                <c:pt idx="25">
                  <c:v>0.68</c:v>
                </c:pt>
                <c:pt idx="26">
                  <c:v>0.66700000000000004</c:v>
                </c:pt>
                <c:pt idx="27">
                  <c:v>0.69</c:v>
                </c:pt>
                <c:pt idx="28">
                  <c:v>0.70099999999999996</c:v>
                </c:pt>
                <c:pt idx="29">
                  <c:v>0.67</c:v>
                </c:pt>
                <c:pt idx="30">
                  <c:v>0.72499999999999998</c:v>
                </c:pt>
                <c:pt idx="31">
                  <c:v>0.71</c:v>
                </c:pt>
                <c:pt idx="32">
                  <c:v>0.69799999999999995</c:v>
                </c:pt>
                <c:pt idx="33">
                  <c:v>0.76300000000000001</c:v>
                </c:pt>
                <c:pt idx="34">
                  <c:v>0.71499999999999997</c:v>
                </c:pt>
                <c:pt idx="35">
                  <c:v>0.754</c:v>
                </c:pt>
                <c:pt idx="36">
                  <c:v>0.752</c:v>
                </c:pt>
                <c:pt idx="37">
                  <c:v>0.76600000000000001</c:v>
                </c:pt>
                <c:pt idx="38">
                  <c:v>0.73699999999999999</c:v>
                </c:pt>
                <c:pt idx="39">
                  <c:v>0.78600000000000003</c:v>
                </c:pt>
                <c:pt idx="40">
                  <c:v>0.76</c:v>
                </c:pt>
                <c:pt idx="41">
                  <c:v>0.755</c:v>
                </c:pt>
                <c:pt idx="42">
                  <c:v>0.77700000000000002</c:v>
                </c:pt>
                <c:pt idx="43">
                  <c:v>0.76700000000000002</c:v>
                </c:pt>
                <c:pt idx="44">
                  <c:v>0.77400000000000002</c:v>
                </c:pt>
                <c:pt idx="45">
                  <c:v>0.77600000000000002</c:v>
                </c:pt>
                <c:pt idx="46">
                  <c:v>0.76800000000000002</c:v>
                </c:pt>
                <c:pt idx="47">
                  <c:v>0.77300000000000002</c:v>
                </c:pt>
                <c:pt idx="48">
                  <c:v>0.77900000000000003</c:v>
                </c:pt>
                <c:pt idx="49">
                  <c:v>0.77500000000000002</c:v>
                </c:pt>
                <c:pt idx="50">
                  <c:v>0.77400000000000002</c:v>
                </c:pt>
                <c:pt idx="51">
                  <c:v>0.81399999999999995</c:v>
                </c:pt>
                <c:pt idx="52">
                  <c:v>0.79800000000000004</c:v>
                </c:pt>
                <c:pt idx="53">
                  <c:v>0.80500000000000005</c:v>
                </c:pt>
                <c:pt idx="54">
                  <c:v>0.78900000000000003</c:v>
                </c:pt>
                <c:pt idx="55">
                  <c:v>0.81799999999999995</c:v>
                </c:pt>
                <c:pt idx="56">
                  <c:v>0.78200000000000003</c:v>
                </c:pt>
                <c:pt idx="57">
                  <c:v>0.81100000000000005</c:v>
                </c:pt>
                <c:pt idx="58">
                  <c:v>0.79500000000000004</c:v>
                </c:pt>
                <c:pt idx="59">
                  <c:v>0.79700000000000004</c:v>
                </c:pt>
                <c:pt idx="60">
                  <c:v>0.81399999999999995</c:v>
                </c:pt>
                <c:pt idx="61">
                  <c:v>0.78300000000000003</c:v>
                </c:pt>
                <c:pt idx="62">
                  <c:v>0.81100000000000005</c:v>
                </c:pt>
                <c:pt idx="63">
                  <c:v>0.81699999999999995</c:v>
                </c:pt>
                <c:pt idx="64">
                  <c:v>0.82399999999999995</c:v>
                </c:pt>
                <c:pt idx="65">
                  <c:v>0.81299999999999994</c:v>
                </c:pt>
                <c:pt idx="66">
                  <c:v>0.81799999999999995</c:v>
                </c:pt>
                <c:pt idx="67">
                  <c:v>0.79100000000000004</c:v>
                </c:pt>
                <c:pt idx="68">
                  <c:v>0.79600000000000004</c:v>
                </c:pt>
                <c:pt idx="69">
                  <c:v>0.77100000000000002</c:v>
                </c:pt>
                <c:pt idx="70">
                  <c:v>0.77400000000000002</c:v>
                </c:pt>
                <c:pt idx="71">
                  <c:v>0.80800000000000005</c:v>
                </c:pt>
                <c:pt idx="72">
                  <c:v>0.82099999999999995</c:v>
                </c:pt>
                <c:pt idx="73">
                  <c:v>0.78300000000000003</c:v>
                </c:pt>
                <c:pt idx="74">
                  <c:v>0.79200000000000004</c:v>
                </c:pt>
                <c:pt idx="75">
                  <c:v>0.80600000000000005</c:v>
                </c:pt>
                <c:pt idx="76">
                  <c:v>0.8</c:v>
                </c:pt>
                <c:pt idx="77">
                  <c:v>0.78700000000000003</c:v>
                </c:pt>
                <c:pt idx="78">
                  <c:v>0.81499999999999995</c:v>
                </c:pt>
                <c:pt idx="79">
                  <c:v>0.77300000000000002</c:v>
                </c:pt>
                <c:pt idx="80">
                  <c:v>0.77900000000000003</c:v>
                </c:pt>
                <c:pt idx="81">
                  <c:v>0.81799999999999995</c:v>
                </c:pt>
                <c:pt idx="82">
                  <c:v>0.77200000000000002</c:v>
                </c:pt>
                <c:pt idx="83">
                  <c:v>0.78700000000000003</c:v>
                </c:pt>
                <c:pt idx="84">
                  <c:v>0.754</c:v>
                </c:pt>
                <c:pt idx="85">
                  <c:v>0.78200000000000003</c:v>
                </c:pt>
                <c:pt idx="86">
                  <c:v>0.81</c:v>
                </c:pt>
                <c:pt idx="87">
                  <c:v>0.78</c:v>
                </c:pt>
                <c:pt idx="88">
                  <c:v>0.76</c:v>
                </c:pt>
                <c:pt idx="89">
                  <c:v>0.76500000000000001</c:v>
                </c:pt>
                <c:pt idx="90">
                  <c:v>0.76100000000000001</c:v>
                </c:pt>
                <c:pt idx="91">
                  <c:v>0.76</c:v>
                </c:pt>
                <c:pt idx="92">
                  <c:v>0.71699999999999997</c:v>
                </c:pt>
                <c:pt idx="93">
                  <c:v>0.746</c:v>
                </c:pt>
                <c:pt idx="94">
                  <c:v>0.78400000000000003</c:v>
                </c:pt>
                <c:pt idx="95">
                  <c:v>0.73699999999999999</c:v>
                </c:pt>
                <c:pt idx="96">
                  <c:v>0.76600000000000001</c:v>
                </c:pt>
                <c:pt idx="97">
                  <c:v>0.753</c:v>
                </c:pt>
                <c:pt idx="98">
                  <c:v>0.72099999999999997</c:v>
                </c:pt>
                <c:pt idx="99">
                  <c:v>0.77800000000000002</c:v>
                </c:pt>
                <c:pt idx="100">
                  <c:v>0.74</c:v>
                </c:pt>
                <c:pt idx="101">
                  <c:v>0.70399999999999996</c:v>
                </c:pt>
                <c:pt idx="102">
                  <c:v>0.73799999999999999</c:v>
                </c:pt>
                <c:pt idx="103">
                  <c:v>0.747</c:v>
                </c:pt>
                <c:pt idx="104">
                  <c:v>0.66800000000000004</c:v>
                </c:pt>
                <c:pt idx="105">
                  <c:v>0.69699999999999995</c:v>
                </c:pt>
                <c:pt idx="106">
                  <c:v>0.72099999999999997</c:v>
                </c:pt>
                <c:pt idx="107">
                  <c:v>0.67900000000000005</c:v>
                </c:pt>
                <c:pt idx="108">
                  <c:v>0.71</c:v>
                </c:pt>
                <c:pt idx="109">
                  <c:v>0.70099999999999996</c:v>
                </c:pt>
                <c:pt idx="110">
                  <c:v>0.70299999999999996</c:v>
                </c:pt>
                <c:pt idx="111">
                  <c:v>0.68400000000000005</c:v>
                </c:pt>
                <c:pt idx="112">
                  <c:v>0.70699999999999996</c:v>
                </c:pt>
                <c:pt idx="113">
                  <c:v>0.67900000000000005</c:v>
                </c:pt>
                <c:pt idx="114">
                  <c:v>0.68300000000000005</c:v>
                </c:pt>
                <c:pt idx="115">
                  <c:v>0.69099999999999995</c:v>
                </c:pt>
                <c:pt idx="116">
                  <c:v>0.70199999999999996</c:v>
                </c:pt>
                <c:pt idx="117">
                  <c:v>0.69199999999999995</c:v>
                </c:pt>
                <c:pt idx="118">
                  <c:v>0.68799999999999994</c:v>
                </c:pt>
                <c:pt idx="119">
                  <c:v>0.69499999999999995</c:v>
                </c:pt>
                <c:pt idx="120">
                  <c:v>0.70699999999999996</c:v>
                </c:pt>
                <c:pt idx="121">
                  <c:v>0.68200000000000005</c:v>
                </c:pt>
                <c:pt idx="122">
                  <c:v>0.64300000000000002</c:v>
                </c:pt>
                <c:pt idx="123">
                  <c:v>0.69899999999999995</c:v>
                </c:pt>
                <c:pt idx="124">
                  <c:v>0.64100000000000001</c:v>
                </c:pt>
                <c:pt idx="125">
                  <c:v>0.61799999999999999</c:v>
                </c:pt>
                <c:pt idx="126">
                  <c:v>0.623</c:v>
                </c:pt>
                <c:pt idx="127">
                  <c:v>0.624</c:v>
                </c:pt>
                <c:pt idx="128">
                  <c:v>0.64700000000000002</c:v>
                </c:pt>
                <c:pt idx="129">
                  <c:v>0.68799999999999994</c:v>
                </c:pt>
                <c:pt idx="130">
                  <c:v>0.64500000000000002</c:v>
                </c:pt>
                <c:pt idx="131">
                  <c:v>0.61699999999999999</c:v>
                </c:pt>
                <c:pt idx="132">
                  <c:v>0.626</c:v>
                </c:pt>
                <c:pt idx="133">
                  <c:v>0.61</c:v>
                </c:pt>
                <c:pt idx="134">
                  <c:v>0.64</c:v>
                </c:pt>
                <c:pt idx="135">
                  <c:v>0.63500000000000001</c:v>
                </c:pt>
                <c:pt idx="136">
                  <c:v>0.61899999999999999</c:v>
                </c:pt>
                <c:pt idx="137">
                  <c:v>0.61799999999999999</c:v>
                </c:pt>
                <c:pt idx="138">
                  <c:v>0.61399999999999999</c:v>
                </c:pt>
                <c:pt idx="139">
                  <c:v>0.63500000000000001</c:v>
                </c:pt>
                <c:pt idx="140">
                  <c:v>0.61199999999999999</c:v>
                </c:pt>
                <c:pt idx="141">
                  <c:v>0.61299999999999999</c:v>
                </c:pt>
                <c:pt idx="142">
                  <c:v>0.59899999999999998</c:v>
                </c:pt>
                <c:pt idx="143">
                  <c:v>0.622</c:v>
                </c:pt>
                <c:pt idx="144">
                  <c:v>0.61699999999999999</c:v>
                </c:pt>
                <c:pt idx="145">
                  <c:v>0.60899999999999999</c:v>
                </c:pt>
                <c:pt idx="146">
                  <c:v>0.61299999999999999</c:v>
                </c:pt>
                <c:pt idx="147">
                  <c:v>0.55100000000000005</c:v>
                </c:pt>
                <c:pt idx="148">
                  <c:v>0.56100000000000005</c:v>
                </c:pt>
                <c:pt idx="149">
                  <c:v>0.58199999999999996</c:v>
                </c:pt>
                <c:pt idx="150">
                  <c:v>0.58699999999999997</c:v>
                </c:pt>
                <c:pt idx="151">
                  <c:v>0.57399999999999995</c:v>
                </c:pt>
                <c:pt idx="152">
                  <c:v>0.60899999999999999</c:v>
                </c:pt>
                <c:pt idx="153">
                  <c:v>0.59899999999999998</c:v>
                </c:pt>
                <c:pt idx="154">
                  <c:v>0.60299999999999998</c:v>
                </c:pt>
                <c:pt idx="155">
                  <c:v>0.56100000000000005</c:v>
                </c:pt>
                <c:pt idx="156">
                  <c:v>0.58799999999999997</c:v>
                </c:pt>
                <c:pt idx="157">
                  <c:v>0.58599999999999997</c:v>
                </c:pt>
                <c:pt idx="158">
                  <c:v>0.57799999999999996</c:v>
                </c:pt>
                <c:pt idx="159">
                  <c:v>0.54400000000000004</c:v>
                </c:pt>
                <c:pt idx="160">
                  <c:v>0.56100000000000005</c:v>
                </c:pt>
                <c:pt idx="161">
                  <c:v>0.61599999999999999</c:v>
                </c:pt>
                <c:pt idx="162">
                  <c:v>0.54900000000000004</c:v>
                </c:pt>
                <c:pt idx="163">
                  <c:v>0.46100000000000002</c:v>
                </c:pt>
                <c:pt idx="164">
                  <c:v>0.57399999999999995</c:v>
                </c:pt>
                <c:pt idx="165">
                  <c:v>0.57999999999999996</c:v>
                </c:pt>
                <c:pt idx="166">
                  <c:v>0.56299999999999994</c:v>
                </c:pt>
                <c:pt idx="167">
                  <c:v>0.56399999999999995</c:v>
                </c:pt>
                <c:pt idx="168">
                  <c:v>0.55300000000000005</c:v>
                </c:pt>
                <c:pt idx="169">
                  <c:v>0.56499999999999995</c:v>
                </c:pt>
                <c:pt idx="170">
                  <c:v>0.55000000000000004</c:v>
                </c:pt>
                <c:pt idx="171">
                  <c:v>0.53900000000000003</c:v>
                </c:pt>
                <c:pt idx="172">
                  <c:v>0.54100000000000004</c:v>
                </c:pt>
                <c:pt idx="173">
                  <c:v>0.53500000000000003</c:v>
                </c:pt>
                <c:pt idx="174">
                  <c:v>0.52500000000000002</c:v>
                </c:pt>
                <c:pt idx="175">
                  <c:v>0.55200000000000005</c:v>
                </c:pt>
                <c:pt idx="176">
                  <c:v>0.52</c:v>
                </c:pt>
                <c:pt idx="177">
                  <c:v>0.52900000000000003</c:v>
                </c:pt>
                <c:pt idx="178">
                  <c:v>0.505</c:v>
                </c:pt>
                <c:pt idx="179">
                  <c:v>0.47799999999999998</c:v>
                </c:pt>
                <c:pt idx="180">
                  <c:v>0.55100000000000005</c:v>
                </c:pt>
                <c:pt idx="181">
                  <c:v>0.503</c:v>
                </c:pt>
                <c:pt idx="182">
                  <c:v>0.53100000000000003</c:v>
                </c:pt>
                <c:pt idx="183">
                  <c:v>0.52100000000000002</c:v>
                </c:pt>
                <c:pt idx="184">
                  <c:v>0.54600000000000004</c:v>
                </c:pt>
                <c:pt idx="185">
                  <c:v>0.48</c:v>
                </c:pt>
                <c:pt idx="186">
                  <c:v>0.47299999999999998</c:v>
                </c:pt>
                <c:pt idx="187">
                  <c:v>0.53</c:v>
                </c:pt>
                <c:pt idx="188">
                  <c:v>0.50900000000000001</c:v>
                </c:pt>
                <c:pt idx="189">
                  <c:v>0.495</c:v>
                </c:pt>
                <c:pt idx="190">
                  <c:v>0.46800000000000003</c:v>
                </c:pt>
                <c:pt idx="191">
                  <c:v>0.48699999999999999</c:v>
                </c:pt>
                <c:pt idx="192">
                  <c:v>0.48599999999999999</c:v>
                </c:pt>
                <c:pt idx="193">
                  <c:v>0.54400000000000004</c:v>
                </c:pt>
                <c:pt idx="194">
                  <c:v>0.52400000000000002</c:v>
                </c:pt>
                <c:pt idx="195">
                  <c:v>0.49199999999999999</c:v>
                </c:pt>
                <c:pt idx="196">
                  <c:v>0.48399999999999999</c:v>
                </c:pt>
                <c:pt idx="197">
                  <c:v>0.46</c:v>
                </c:pt>
                <c:pt idx="198">
                  <c:v>0.499</c:v>
                </c:pt>
                <c:pt idx="199">
                  <c:v>0.433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25344"/>
        <c:axId val="56096960"/>
      </c:lineChart>
      <c:catAx>
        <c:axId val="9202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096960"/>
        <c:crosses val="autoZero"/>
        <c:auto val="1"/>
        <c:lblAlgn val="ctr"/>
        <c:lblOffset val="100"/>
        <c:noMultiLvlLbl val="0"/>
      </c:catAx>
      <c:valAx>
        <c:axId val="5609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202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Analytic!$L$1</c:f>
              <c:strCache>
                <c:ptCount val="1"/>
                <c:pt idx="0">
                  <c:v>Pb Analytic</c:v>
                </c:pt>
              </c:strCache>
            </c:strRef>
          </c:tx>
          <c:marker>
            <c:symbol val="none"/>
          </c:marker>
          <c:cat>
            <c:numRef>
              <c:f>Analytic!$K$2:$K$201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Analytic!$L$2:$L$202</c:f>
              <c:numCache>
                <c:formatCode>General</c:formatCode>
                <c:ptCount val="201"/>
                <c:pt idx="0">
                  <c:v>5.9419172644665646E-19</c:v>
                </c:pt>
                <c:pt idx="1">
                  <c:v>2.1912364181462139E-15</c:v>
                </c:pt>
                <c:pt idx="2">
                  <c:v>2.5512402543602195E-13</c:v>
                </c:pt>
                <c:pt idx="3">
                  <c:v>7.2038007948365715E-12</c:v>
                </c:pt>
                <c:pt idx="4">
                  <c:v>9.3459894476904206E-11</c:v>
                </c:pt>
                <c:pt idx="5">
                  <c:v>7.4056982159177879E-10</c:v>
                </c:pt>
                <c:pt idx="6">
                  <c:v>4.1720019906410998E-9</c:v>
                </c:pt>
                <c:pt idx="7">
                  <c:v>1.8295702196178483E-8</c:v>
                </c:pt>
                <c:pt idx="8">
                  <c:v>6.6221832549459177E-8</c:v>
                </c:pt>
                <c:pt idx="9">
                  <c:v>2.0590786734838644E-7</c:v>
                </c:pt>
                <c:pt idx="10">
                  <c:v>5.6593793765542026E-7</c:v>
                </c:pt>
                <c:pt idx="11">
                  <c:v>1.4043022032714282E-6</c:v>
                </c:pt>
                <c:pt idx="12">
                  <c:v>3.196871691824754E-6</c:v>
                </c:pt>
                <c:pt idx="13">
                  <c:v>6.7607804158862458E-6</c:v>
                </c:pt>
                <c:pt idx="14">
                  <c:v>1.3415076932000488E-5</c:v>
                </c:pt>
                <c:pt idx="15">
                  <c:v>2.5176997717335701E-5</c:v>
                </c:pt>
                <c:pt idx="16">
                  <c:v>4.4987480490920124E-5</c:v>
                </c:pt>
                <c:pt idx="17">
                  <c:v>7.6954669542463757E-5</c:v>
                </c:pt>
                <c:pt idx="18">
                  <c:v>1.2659981947492455E-4</c:v>
                </c:pt>
                <c:pt idx="19">
                  <c:v>2.0108678916375399E-4</c:v>
                </c:pt>
                <c:pt idx="20">
                  <c:v>3.0941471572557992E-4</c:v>
                </c:pt>
                <c:pt idx="21">
                  <c:v>4.6255375891132244E-4</c:v>
                </c:pt>
                <c:pt idx="22">
                  <c:v>6.735060761405827E-4</c:v>
                </c:pt>
                <c:pt idx="23">
                  <c:v>9.5727826888117437E-4</c:v>
                </c:pt>
                <c:pt idx="24">
                  <c:v>1.3307570740328839E-3</c:v>
                </c:pt>
                <c:pt idx="25">
                  <c:v>1.8124865479581121E-3</c:v>
                </c:pt>
                <c:pt idx="26">
                  <c:v>2.422351802072537E-3</c:v>
                </c:pt>
                <c:pt idx="27">
                  <c:v>3.1811808695185232E-3</c:v>
                </c:pt>
                <c:pt idx="28">
                  <c:v>4.1102819280901424E-3</c:v>
                </c:pt>
                <c:pt idx="29">
                  <c:v>5.2309373949836098E-3</c:v>
                </c:pt>
                <c:pt idx="30">
                  <c:v>6.5638790142653752E-3</c:v>
                </c:pt>
                <c:pt idx="31">
                  <c:v>8.1287688262009824E-3</c:v>
                </c:pt>
                <c:pt idx="32">
                  <c:v>9.9437098704018307E-3</c:v>
                </c:pt>
                <c:pt idx="33">
                  <c:v>1.2024807831579646E-2</c:v>
                </c:pt>
                <c:pt idx="34">
                  <c:v>1.4385800920654343E-2</c:v>
                </c:pt>
                <c:pt idx="35">
                  <c:v>1.7037770514873141E-2</c:v>
                </c:pt>
                <c:pt idx="36">
                  <c:v>1.9988939912545817E-2</c:v>
                </c:pt>
                <c:pt idx="37">
                  <c:v>2.3244563428696175E-2</c:v>
                </c:pt>
                <c:pt idx="38">
                  <c:v>2.680690334637081E-2</c:v>
                </c:pt>
                <c:pt idx="39">
                  <c:v>3.0675288235150731E-2</c:v>
                </c:pt>
                <c:pt idx="40">
                  <c:v>3.4846243040743727E-2</c:v>
                </c:pt>
                <c:pt idx="41">
                  <c:v>3.9313679220136517E-2</c:v>
                </c:pt>
                <c:pt idx="42">
                  <c:v>4.4069132034660528E-2</c:v>
                </c:pt>
                <c:pt idx="43">
                  <c:v>4.9102031832488111E-2</c:v>
                </c:pt>
                <c:pt idx="44">
                  <c:v>5.4399996614366702E-2</c:v>
                </c:pt>
                <c:pt idx="45">
                  <c:v>5.9949134214774866E-2</c:v>
                </c:pt>
                <c:pt idx="46">
                  <c:v>6.5734343870102033E-2</c:v>
                </c:pt>
                <c:pt idx="47">
                  <c:v>7.1739608619615799E-2</c:v>
                </c:pt>
                <c:pt idx="48">
                  <c:v>7.7948271748055215E-2</c:v>
                </c:pt>
                <c:pt idx="49">
                  <c:v>8.4343292212139501E-2</c:v>
                </c:pt>
                <c:pt idx="50">
                  <c:v>9.0907475608374325E-2</c:v>
                </c:pt>
                <c:pt idx="51">
                  <c:v>9.7623678676478545E-2</c:v>
                </c:pt>
                <c:pt idx="52">
                  <c:v>0.10447498655759765</c:v>
                </c:pt>
                <c:pt idx="53">
                  <c:v>0.11144486302663081</c:v>
                </c:pt>
                <c:pt idx="54">
                  <c:v>0.11851727469737247</c:v>
                </c:pt>
                <c:pt idx="55">
                  <c:v>0.12567679077330648</c:v>
                </c:pt>
                <c:pt idx="56">
                  <c:v>0.13290866030870033</c:v>
                </c:pt>
                <c:pt idx="57">
                  <c:v>0.14019886918087271</c:v>
                </c:pt>
                <c:pt idx="58">
                  <c:v>0.14753417908293029</c:v>
                </c:pt>
                <c:pt idx="59">
                  <c:v>0.15490215085374121</c:v>
                </c:pt>
                <c:pt idx="60">
                  <c:v>0.16229115439304989</c:v>
                </c:pt>
                <c:pt idx="61">
                  <c:v>0.16969036728603837</c:v>
                </c:pt>
                <c:pt idx="62">
                  <c:v>0.17708976410160057</c:v>
                </c:pt>
                <c:pt idx="63">
                  <c:v>0.18448009814707286</c:v>
                </c:pt>
                <c:pt idx="64">
                  <c:v>0.19185287727096792</c:v>
                </c:pt>
                <c:pt idx="65">
                  <c:v>0.19920033511342347</c:v>
                </c:pt>
                <c:pt idx="66">
                  <c:v>0.20651539901815158</c:v>
                </c:pt>
                <c:pt idx="67">
                  <c:v>0.21379165564424973</c:v>
                </c:pt>
                <c:pt idx="68">
                  <c:v>0.22102331515419357</c:v>
                </c:pt>
                <c:pt idx="69">
                  <c:v>0.22820517470731058</c:v>
                </c:pt>
                <c:pt idx="70">
                  <c:v>0.23533258185667108</c:v>
                </c:pt>
                <c:pt idx="71">
                  <c:v>0.24240139833152519</c:v>
                </c:pt>
                <c:pt idx="72">
                  <c:v>0.24940796458659126</c:v>
                </c:pt>
                <c:pt idx="73">
                  <c:v>0.25634906541270053</c:v>
                </c:pt>
                <c:pt idx="74">
                  <c:v>0.26322189682940622</c:v>
                </c:pt>
                <c:pt idx="75">
                  <c:v>0.27002403441792772</c:v>
                </c:pt>
                <c:pt idx="76">
                  <c:v>0.27675340320094638</c:v>
                </c:pt>
                <c:pt idx="77">
                  <c:v>0.28340824913306689</c:v>
                </c:pt>
                <c:pt idx="78">
                  <c:v>0.28998711223102297</c:v>
                </c:pt>
                <c:pt idx="79">
                  <c:v>0.29648880134483613</c:v>
                </c:pt>
                <c:pt idx="80">
                  <c:v>0.30291237054913767</c:v>
                </c:pt>
                <c:pt idx="81">
                  <c:v>0.3092570971168348</c:v>
                </c:pt>
                <c:pt idx="82">
                  <c:v>0.31552246102444587</c:v>
                </c:pt>
                <c:pt idx="83">
                  <c:v>0.32170812592903913</c:v>
                </c:pt>
                <c:pt idx="84">
                  <c:v>0.32781392155019035</c:v>
                </c:pt>
                <c:pt idx="85">
                  <c:v>0.33383982738618156</c:v>
                </c:pt>
                <c:pt idx="86">
                  <c:v>0.33978595769137399</c:v>
                </c:pt>
                <c:pt idx="87">
                  <c:v>0.34565254764088982</c:v>
                </c:pt>
                <c:pt idx="88">
                  <c:v>0.3514399406091393</c:v>
                </c:pt>
                <c:pt idx="89">
                  <c:v>0.35714857649005011</c:v>
                </c:pt>
                <c:pt idx="90">
                  <c:v>0.36277898098885669</c:v>
                </c:pt>
                <c:pt idx="91">
                  <c:v>0.36833175581784439</c:v>
                </c:pt>
                <c:pt idx="92">
                  <c:v>0.37380756973131901</c:v>
                </c:pt>
                <c:pt idx="93">
                  <c:v>0.37920715033820335</c:v>
                </c:pt>
                <c:pt idx="94">
                  <c:v>0.38453127663392678</c:v>
                </c:pt>
                <c:pt idx="95">
                  <c:v>0.38978077219660306</c:v>
                </c:pt>
                <c:pt idx="96">
                  <c:v>0.39495649899582519</c:v>
                </c:pt>
                <c:pt idx="97">
                  <c:v>0.40005935176569157</c:v>
                </c:pt>
                <c:pt idx="98">
                  <c:v>0.4050902528968845</c:v>
                </c:pt>
                <c:pt idx="99">
                  <c:v>0.41005014780571863</c:v>
                </c:pt>
                <c:pt idx="100">
                  <c:v>0.41494000074105031</c:v>
                </c:pt>
                <c:pt idx="101">
                  <c:v>0.41976079099276747</c:v>
                </c:pt>
                <c:pt idx="102">
                  <c:v>0.42451350946827043</c:v>
                </c:pt>
                <c:pt idx="103">
                  <c:v>0.42919915560588051</c:v>
                </c:pt>
                <c:pt idx="104">
                  <c:v>0.43381873459650611</c:v>
                </c:pt>
                <c:pt idx="105">
                  <c:v>0.43837325488711615</c:v>
                </c:pt>
                <c:pt idx="106">
                  <c:v>0.44286372594166701</c:v>
                </c:pt>
                <c:pt idx="107">
                  <c:v>0.44729115623706789</c:v>
                </c:pt>
                <c:pt idx="108">
                  <c:v>0.45165655147357436</c:v>
                </c:pt>
                <c:pt idx="109">
                  <c:v>0.45596091298068281</c:v>
                </c:pt>
                <c:pt idx="110">
                  <c:v>0.46020523630114613</c:v>
                </c:pt>
                <c:pt idx="111">
                  <c:v>0.46439050993716885</c:v>
                </c:pt>
                <c:pt idx="112">
                  <c:v>0.46851771424417216</c:v>
                </c:pt>
                <c:pt idx="113">
                  <c:v>0.47258782045873249</c:v>
                </c:pt>
                <c:pt idx="114">
                  <c:v>0.47660178984843721</c:v>
                </c:pt>
                <c:pt idx="115">
                  <c:v>0.48056057297243115</c:v>
                </c:pt>
                <c:pt idx="116">
                  <c:v>0.48446510904238649</c:v>
                </c:pt>
                <c:pt idx="117">
                  <c:v>0.48831632537450492</c:v>
                </c:pt>
                <c:pt idx="118">
                  <c:v>0.49211513692396974</c:v>
                </c:pt>
                <c:pt idx="119">
                  <c:v>0.49586244589400141</c:v>
                </c:pt>
                <c:pt idx="120">
                  <c:v>0.49955914141235486</c:v>
                </c:pt>
                <c:pt idx="121">
                  <c:v>0.50320609926871307</c:v>
                </c:pt>
                <c:pt idx="122">
                  <c:v>0.50680418170700814</c:v>
                </c:pt>
                <c:pt idx="123">
                  <c:v>0.5103542372672194</c:v>
                </c:pt>
                <c:pt idx="124">
                  <c:v>0.51385710067167878</c:v>
                </c:pt>
                <c:pt idx="125">
                  <c:v>0.51731359275135314</c:v>
                </c:pt>
                <c:pt idx="126">
                  <c:v>0.52072452040797135</c:v>
                </c:pt>
                <c:pt idx="127">
                  <c:v>0.5240906766082345</c:v>
                </c:pt>
                <c:pt idx="128">
                  <c:v>0.52741284040667946</c:v>
                </c:pt>
                <c:pt idx="129">
                  <c:v>0.53069177699407988</c:v>
                </c:pt>
                <c:pt idx="130">
                  <c:v>0.53392823776854048</c:v>
                </c:pt>
                <c:pt idx="131">
                  <c:v>0.53712296042670304</c:v>
                </c:pt>
                <c:pt idx="132">
                  <c:v>0.54027666907271943</c:v>
                </c:pt>
                <c:pt idx="133">
                  <c:v>0.54339007434285269</c:v>
                </c:pt>
                <c:pt idx="134">
                  <c:v>0.54646387354377368</c:v>
                </c:pt>
                <c:pt idx="135">
                  <c:v>0.54949875080279031</c:v>
                </c:pt>
                <c:pt idx="136">
                  <c:v>0.55249537722841702</c:v>
                </c:pt>
                <c:pt idx="137">
                  <c:v>0.55545441107983762</c:v>
                </c:pt>
                <c:pt idx="138">
                  <c:v>0.55837649794395139</c:v>
                </c:pt>
                <c:pt idx="139">
                  <c:v>0.56126227091881875</c:v>
                </c:pt>
                <c:pt idx="140">
                  <c:v>0.5641123508024336</c:v>
                </c:pt>
                <c:pt idx="141">
                  <c:v>0.56692734628585562</c:v>
                </c:pt>
                <c:pt idx="142">
                  <c:v>0.56970785414982816</c:v>
                </c:pt>
                <c:pt idx="143">
                  <c:v>0.57245445946409568</c:v>
                </c:pt>
                <c:pt idx="144">
                  <c:v>0.57516773578871216</c:v>
                </c:pt>
                <c:pt idx="145">
                  <c:v>0.57784824537670443</c:v>
                </c:pt>
                <c:pt idx="146">
                  <c:v>0.58049653937751766</c:v>
                </c:pt>
                <c:pt idx="147">
                  <c:v>0.58311315804073349</c:v>
                </c:pt>
                <c:pt idx="148">
                  <c:v>0.58569863091960239</c:v>
                </c:pt>
                <c:pt idx="149">
                  <c:v>0.58825347707398257</c:v>
                </c:pt>
                <c:pt idx="150">
                  <c:v>0.59077820527232339</c:v>
                </c:pt>
                <c:pt idx="151">
                  <c:v>0.59327331419236962</c:v>
                </c:pt>
                <c:pt idx="152">
                  <c:v>0.59573929262030445</c:v>
                </c:pt>
                <c:pt idx="153">
                  <c:v>0.59817661964807833</c:v>
                </c:pt>
                <c:pt idx="154">
                  <c:v>0.60058576486870485</c:v>
                </c:pt>
                <c:pt idx="155">
                  <c:v>0.60296718856933207</c:v>
                </c:pt>
                <c:pt idx="156">
                  <c:v>0.60532134192192011</c:v>
                </c:pt>
                <c:pt idx="157">
                  <c:v>0.60764866717138599</c:v>
                </c:pt>
                <c:pt idx="158">
                  <c:v>0.60994959782108849</c:v>
                </c:pt>
                <c:pt idx="159">
                  <c:v>0.61222455881555093</c:v>
                </c:pt>
                <c:pt idx="160">
                  <c:v>0.61447396672033661</c:v>
                </c:pt>
                <c:pt idx="161">
                  <c:v>0.61669822989900158</c:v>
                </c:pt>
                <c:pt idx="162">
                  <c:v>0.61889774868707381</c:v>
                </c:pt>
                <c:pt idx="163">
                  <c:v>0.62107291556300603</c:v>
                </c:pt>
                <c:pt idx="164">
                  <c:v>0.62322411531607524</c:v>
                </c:pt>
                <c:pt idx="165">
                  <c:v>0.62535172521120308</c:v>
                </c:pt>
                <c:pt idx="166">
                  <c:v>0.62745611515068189</c:v>
                </c:pt>
                <c:pt idx="167">
                  <c:v>0.62953764783280408</c:v>
                </c:pt>
                <c:pt idx="168">
                  <c:v>0.6315966789073908</c:v>
                </c:pt>
                <c:pt idx="169">
                  <c:v>0.63363355712823455</c:v>
                </c:pt>
                <c:pt idx="170">
                  <c:v>0.63564862450246407</c:v>
                </c:pt>
                <c:pt idx="171">
                  <c:v>0.63764221643685215</c:v>
                </c:pt>
                <c:pt idx="172">
                  <c:v>0.63961466188109239</c:v>
                </c:pt>
                <c:pt idx="173">
                  <c:v>0.6415662834680691</c:v>
                </c:pt>
                <c:pt idx="174">
                  <c:v>0.64349739765115288</c:v>
                </c:pt>
                <c:pt idx="175">
                  <c:v>0.64540831483855787</c:v>
                </c:pt>
                <c:pt idx="176">
                  <c:v>0.6472993395247939</c:v>
                </c:pt>
                <c:pt idx="177">
                  <c:v>0.64917077041925719</c:v>
                </c:pt>
                <c:pt idx="178">
                  <c:v>0.65102290057199708</c:v>
                </c:pt>
                <c:pt idx="179">
                  <c:v>0.65285601749670563</c:v>
                </c:pt>
                <c:pt idx="180">
                  <c:v>0.65467040329096904</c:v>
                </c:pt>
                <c:pt idx="181">
                  <c:v>0.65646633475383431</c:v>
                </c:pt>
                <c:pt idx="182">
                  <c:v>0.65824408350072927</c:v>
                </c:pt>
                <c:pt idx="183">
                  <c:v>0.66000391607578912</c:v>
                </c:pt>
                <c:pt idx="184">
                  <c:v>0.66174609406163609</c:v>
                </c:pt>
                <c:pt idx="185">
                  <c:v>0.6634708741866564</c:v>
                </c:pt>
                <c:pt idx="186">
                  <c:v>0.66517850842983128</c:v>
                </c:pt>
                <c:pt idx="187">
                  <c:v>0.66686924412316018</c:v>
                </c:pt>
                <c:pt idx="188">
                  <c:v>0.66854332405173467</c:v>
                </c:pt>
                <c:pt idx="189">
                  <c:v>0.67020098655150417</c:v>
                </c:pt>
                <c:pt idx="190">
                  <c:v>0.67184246560478522</c:v>
                </c:pt>
                <c:pt idx="191">
                  <c:v>0.67346799093356169</c:v>
                </c:pt>
                <c:pt idx="192">
                  <c:v>0.6750777880906228</c:v>
                </c:pt>
                <c:pt idx="193">
                  <c:v>0.67667207854858713</c:v>
                </c:pt>
                <c:pt idx="194">
                  <c:v>0.67825107978685739</c:v>
                </c:pt>
                <c:pt idx="195">
                  <c:v>0.67981500537655493</c:v>
                </c:pt>
                <c:pt idx="196">
                  <c:v>0.68136406506347535</c:v>
                </c:pt>
                <c:pt idx="197">
                  <c:v>0.68289846484911576</c:v>
                </c:pt>
                <c:pt idx="198">
                  <c:v>0.68441840706981072</c:v>
                </c:pt>
                <c:pt idx="199">
                  <c:v>0.68592409047402747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Analytic!$M$1</c:f>
              <c:strCache>
                <c:ptCount val="1"/>
                <c:pt idx="0">
                  <c:v>Pd Analytic</c:v>
                </c:pt>
              </c:strCache>
            </c:strRef>
          </c:tx>
          <c:marker>
            <c:symbol val="none"/>
          </c:marker>
          <c:cat>
            <c:numRef>
              <c:f>Analytic!$K$2:$K$201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Analytic!$M$2:$M$202</c:f>
              <c:numCache>
                <c:formatCode>General</c:formatCode>
                <c:ptCount val="201"/>
                <c:pt idx="0">
                  <c:v>3.3311132253990516E-2</c:v>
                </c:pt>
                <c:pt idx="1">
                  <c:v>6.6489563439471572E-2</c:v>
                </c:pt>
                <c:pt idx="2">
                  <c:v>9.9405096988180675E-2</c:v>
                </c:pt>
                <c:pt idx="3">
                  <c:v>0.13193244182569408</c:v>
                </c:pt>
                <c:pt idx="4">
                  <c:v>0.16395341365351546</c:v>
                </c:pt>
                <c:pt idx="5">
                  <c:v>0.19535885403887954</c:v>
                </c:pt>
                <c:pt idx="6">
                  <c:v>0.22605020336022683</c:v>
                </c:pt>
                <c:pt idx="7">
                  <c:v>0.25594068493118571</c:v>
                </c:pt>
                <c:pt idx="8">
                  <c:v>0.28495607952482038</c:v>
                </c:pt>
                <c:pt idx="9">
                  <c:v>0.31303509020102999</c:v>
                </c:pt>
                <c:pt idx="10">
                  <c:v>0.34012931546696462</c:v>
                </c:pt>
                <c:pt idx="11">
                  <c:v>0.36620286361921489</c:v>
                </c:pt>
                <c:pt idx="12">
                  <c:v>0.39123165240027513</c:v>
                </c:pt>
                <c:pt idx="13">
                  <c:v>0.41520244600916184</c:v>
                </c:pt>
                <c:pt idx="14">
                  <c:v>0.43811168641024123</c:v>
                </c:pt>
                <c:pt idx="15">
                  <c:v>0.45996417821908897</c:v>
                </c:pt>
                <c:pt idx="16">
                  <c:v>0.48077168659713349</c:v>
                </c:pt>
                <c:pt idx="17">
                  <c:v>0.50055150584883656</c:v>
                </c:pt>
                <c:pt idx="18">
                  <c:v>0.51932505298025511</c:v>
                </c:pt>
                <c:pt idx="19">
                  <c:v>0.53711653547688776</c:v>
                </c:pt>
                <c:pt idx="20">
                  <c:v>0.55395173610909265</c:v>
                </c:pt>
                <c:pt idx="21">
                  <c:v>0.56985694982801538</c:v>
                </c:pt>
                <c:pt idx="22">
                  <c:v>0.5848580989995682</c:v>
                </c:pt>
                <c:pt idx="23">
                  <c:v>0.59898004365581514</c:v>
                </c:pt>
                <c:pt idx="24">
                  <c:v>0.61224609352958936</c:v>
                </c:pt>
                <c:pt idx="25">
                  <c:v>0.62467771885658285</c:v>
                </c:pt>
                <c:pt idx="26">
                  <c:v>0.63629444779106437</c:v>
                </c:pt>
                <c:pt idx="27">
                  <c:v>0.64711393028711073</c:v>
                </c:pt>
                <c:pt idx="28">
                  <c:v>0.65715214188659543</c:v>
                </c:pt>
                <c:pt idx="29">
                  <c:v>0.66642369636166421</c:v>
                </c:pt>
                <c:pt idx="30">
                  <c:v>0.67494223377408014</c:v>
                </c:pt>
                <c:pt idx="31">
                  <c:v>0.68272085026459028</c:v>
                </c:pt>
                <c:pt idx="32">
                  <c:v>0.68977253763507806</c:v>
                </c:pt>
                <c:pt idx="33">
                  <c:v>0.69611060424934468</c:v>
                </c:pt>
                <c:pt idx="34">
                  <c:v>0.70174905355508299</c:v>
                </c:pt>
                <c:pt idx="35">
                  <c:v>0.70670290215100773</c:v>
                </c:pt>
                <c:pt idx="36">
                  <c:v>0.71098842530120188</c:v>
                </c:pt>
                <c:pt idx="37">
                  <c:v>0.71462332367445158</c:v>
                </c:pt>
                <c:pt idx="38">
                  <c:v>0.71762681046920307</c:v>
                </c:pt>
                <c:pt idx="39">
                  <c:v>0.72001962268006225</c:v>
                </c:pt>
                <c:pt idx="40">
                  <c:v>0.72182396388337899</c:v>
                </c:pt>
                <c:pt idx="41">
                  <c:v>0.72306338848913099</c:v>
                </c:pt>
                <c:pt idx="42">
                  <c:v>0.72376263894144832</c:v>
                </c:pt>
                <c:pt idx="43">
                  <c:v>0.72394744794398236</c:v>
                </c:pt>
                <c:pt idx="44">
                  <c:v>0.72364431758454106</c:v>
                </c:pt>
                <c:pt idx="45">
                  <c:v>0.72288028641019331</c:v>
                </c:pt>
                <c:pt idx="46">
                  <c:v>0.72168269424098241</c:v>
                </c:pt>
                <c:pt idx="47">
                  <c:v>0.72007895297966851</c:v>
                </c:pt>
                <c:pt idx="48">
                  <c:v>0.71809633002749795</c:v>
                </c:pt>
                <c:pt idx="49">
                  <c:v>0.71576174927484948</c:v>
                </c:pt>
                <c:pt idx="50">
                  <c:v>0.71310161309328812</c:v>
                </c:pt>
                <c:pt idx="51">
                  <c:v>0.71014164737508134</c:v>
                </c:pt>
                <c:pt idx="52">
                  <c:v>0.7069067704843589</c:v>
                </c:pt>
                <c:pt idx="53">
                  <c:v>0.70342098601570924</c:v>
                </c:pt>
                <c:pt idx="54">
                  <c:v>0.69970729849926738</c:v>
                </c:pt>
                <c:pt idx="55">
                  <c:v>0.69578765063237724</c:v>
                </c:pt>
                <c:pt idx="56">
                  <c:v>0.69168288023525393</c:v>
                </c:pt>
                <c:pt idx="57">
                  <c:v>0.68741269489622092</c:v>
                </c:pt>
                <c:pt idx="58">
                  <c:v>0.68299566216427676</c:v>
                </c:pt>
                <c:pt idx="59">
                  <c:v>0.67844921313699547</c:v>
                </c:pt>
                <c:pt idx="60">
                  <c:v>0.67378965735616148</c:v>
                </c:pt>
                <c:pt idx="61">
                  <c:v>0.669032207041103</c:v>
                </c:pt>
                <c:pt idx="62">
                  <c:v>0.66419100884257021</c:v>
                </c:pt>
                <c:pt idx="63">
                  <c:v>0.65927918147368336</c:v>
                </c:pt>
                <c:pt idx="64">
                  <c:v>0.65430885775740977</c:v>
                </c:pt>
                <c:pt idx="65">
                  <c:v>0.6492912298134611</c:v>
                </c:pt>
                <c:pt idx="66">
                  <c:v>0.64423659628504781</c:v>
                </c:pt>
                <c:pt idx="67">
                  <c:v>0.63915441067314982</c:v>
                </c:pt>
                <c:pt idx="68">
                  <c:v>0.6340533300000829</c:v>
                </c:pt>
                <c:pt idx="69">
                  <c:v>0.62894126316358001</c:v>
                </c:pt>
                <c:pt idx="70">
                  <c:v>0.62382541846679229</c:v>
                </c:pt>
                <c:pt idx="71">
                  <c:v>0.61871234991867186</c:v>
                </c:pt>
                <c:pt idx="72">
                  <c:v>0.61360800199369847</c:v>
                </c:pt>
                <c:pt idx="73">
                  <c:v>0.60851775262083907</c:v>
                </c:pt>
                <c:pt idx="74">
                  <c:v>0.60344645424007615</c:v>
                </c:pt>
                <c:pt idx="75">
                  <c:v>0.59839847282204905</c:v>
                </c:pt>
                <c:pt idx="76">
                  <c:v>0.59337772479357076</c:v>
                </c:pt>
                <c:pt idx="77">
                  <c:v>0.58838771185023764</c:v>
                </c:pt>
                <c:pt idx="78">
                  <c:v>0.58343155366817689</c:v>
                </c:pt>
                <c:pt idx="79">
                  <c:v>0.57851201855128509</c:v>
                </c:pt>
                <c:pt idx="80">
                  <c:v>0.5736315520690467</c:v>
                </c:pt>
                <c:pt idx="81">
                  <c:v>0.56879230375407552</c:v>
                </c:pt>
                <c:pt idx="82">
                  <c:v>0.56399615193866426</c:v>
                </c:pt>
                <c:pt idx="83">
                  <c:v>0.55924472681654547</c:v>
                </c:pt>
                <c:pt idx="84">
                  <c:v>0.55453943182033871</c:v>
                </c:pt>
                <c:pt idx="85">
                  <c:v>0.54988146340729338</c:v>
                </c:pt>
                <c:pt idx="86">
                  <c:v>0.54527182934637053</c:v>
                </c:pt>
                <c:pt idx="87">
                  <c:v>0.54071136559879784</c:v>
                </c:pt>
                <c:pt idx="88">
                  <c:v>0.5362007518822941</c:v>
                </c:pt>
                <c:pt idx="89">
                  <c:v>0.53174052600642341</c:v>
                </c:pt>
                <c:pt idx="90">
                  <c:v>0.52733109706326742</c:v>
                </c:pt>
                <c:pt idx="91">
                  <c:v>0.52297275755389361</c:v>
                </c:pt>
                <c:pt idx="92">
                  <c:v>0.51866569452716504</c:v>
                </c:pt>
                <c:pt idx="93">
                  <c:v>0.51440999980333646</c:v>
                </c:pt>
                <c:pt idx="94">
                  <c:v>0.51020567935073613</c:v>
                </c:pt>
                <c:pt idx="95">
                  <c:v>0.50605266187970033</c:v>
                </c:pt>
                <c:pt idx="96">
                  <c:v>0.50195080671385739</c:v>
                </c:pt>
                <c:pt idx="97">
                  <c:v>0.49789991099490699</c:v>
                </c:pt>
                <c:pt idx="98">
                  <c:v>0.49389971627321949</c:v>
                </c:pt>
                <c:pt idx="99">
                  <c:v>0.48994991453292397</c:v>
                </c:pt>
                <c:pt idx="100">
                  <c:v>0.48605015369667259</c:v>
                </c:pt>
                <c:pt idx="101">
                  <c:v>0.48220004265196775</c:v>
                </c:pt>
                <c:pt idx="102">
                  <c:v>0.47839915583782427</c:v>
                </c:pt>
                <c:pt idx="103">
                  <c:v>0.47464703742761616</c:v>
                </c:pt>
                <c:pt idx="104">
                  <c:v>0.47094320514120891</c:v>
                </c:pt>
                <c:pt idx="105">
                  <c:v>0.46728715371692414</c:v>
                </c:pt>
                <c:pt idx="106">
                  <c:v>0.46367835807148883</c:v>
                </c:pt>
                <c:pt idx="107">
                  <c:v>0.46011627617390011</c:v>
                </c:pt>
                <c:pt idx="108">
                  <c:v>0.45660035165707974</c:v>
                </c:pt>
                <c:pt idx="109">
                  <c:v>0.45313001618927234</c:v>
                </c:pt>
                <c:pt idx="110">
                  <c:v>0.44970469162537891</c:v>
                </c:pt>
                <c:pt idx="111">
                  <c:v>0.44632379195677757</c:v>
                </c:pt>
                <c:pt idx="112">
                  <c:v>0.44298672507667186</c:v>
                </c:pt>
                <c:pt idx="113">
                  <c:v>0.43969289437661974</c:v>
                </c:pt>
                <c:pt idx="114">
                  <c:v>0.43644170018860357</c:v>
                </c:pt>
                <c:pt idx="115">
                  <c:v>0.43323254108582665</c:v>
                </c:pt>
                <c:pt idx="116">
                  <c:v>0.43006481505432748</c:v>
                </c:pt>
                <c:pt idx="117">
                  <c:v>0.42693792054650698</c:v>
                </c:pt>
                <c:pt idx="118">
                  <c:v>0.42385125742673763</c:v>
                </c:pt>
                <c:pt idx="119">
                  <c:v>0.42080422781838533</c:v>
                </c:pt>
                <c:pt idx="120">
                  <c:v>0.41779623686078998</c:v>
                </c:pt>
                <c:pt idx="121">
                  <c:v>0.41482669338404432</c:v>
                </c:pt>
                <c:pt idx="122">
                  <c:v>0.41189501050875277</c:v>
                </c:pt>
                <c:pt idx="123">
                  <c:v>0.40900060617735123</c:v>
                </c:pt>
                <c:pt idx="124">
                  <c:v>0.40614290362301853</c:v>
                </c:pt>
                <c:pt idx="125">
                  <c:v>0.40332133178170515</c:v>
                </c:pt>
                <c:pt idx="126">
                  <c:v>0.4005353256523394</c:v>
                </c:pt>
                <c:pt idx="127">
                  <c:v>0.39778432660984819</c:v>
                </c:pt>
                <c:pt idx="128">
                  <c:v>0.39506778267523879</c:v>
                </c:pt>
                <c:pt idx="129">
                  <c:v>0.392385148746628</c:v>
                </c:pt>
                <c:pt idx="130">
                  <c:v>0.38973588679478377</c:v>
                </c:pt>
                <c:pt idx="131">
                  <c:v>0.38711946602643732</c:v>
                </c:pt>
                <c:pt idx="132">
                  <c:v>0.38453536301835123</c:v>
                </c:pt>
                <c:pt idx="133">
                  <c:v>0.38198306182487807</c:v>
                </c:pt>
                <c:pt idx="134">
                  <c:v>0.37946205406150846</c:v>
                </c:pt>
                <c:pt idx="135">
                  <c:v>0.37697183896670128</c:v>
                </c:pt>
                <c:pt idx="136">
                  <c:v>0.37451192344408746</c:v>
                </c:pt>
                <c:pt idx="137">
                  <c:v>0.37208182208696639</c:v>
                </c:pt>
                <c:pt idx="138">
                  <c:v>0.36968105718684796</c:v>
                </c:pt>
                <c:pt idx="139">
                  <c:v>0.36730915872764269</c:v>
                </c:pt>
                <c:pt idx="140">
                  <c:v>0.36496566436696642</c:v>
                </c:pt>
                <c:pt idx="141">
                  <c:v>0.36265011940590075</c:v>
                </c:pt>
                <c:pt idx="142">
                  <c:v>0.36036207674843324</c:v>
                </c:pt>
                <c:pt idx="143">
                  <c:v>0.35810109685169667</c:v>
                </c:pt>
                <c:pt idx="144">
                  <c:v>0.35586674766802973</c:v>
                </c:pt>
                <c:pt idx="145">
                  <c:v>0.35365860457979081</c:v>
                </c:pt>
                <c:pt idx="146">
                  <c:v>0.35147625032777907</c:v>
                </c:pt>
                <c:pt idx="147">
                  <c:v>0.34931927493403803</c:v>
                </c:pt>
                <c:pt idx="148">
                  <c:v>0.34718727561974938</c:v>
                </c:pt>
                <c:pt idx="149">
                  <c:v>0.34507985671886454</c:v>
                </c:pt>
                <c:pt idx="150">
                  <c:v>0.3429966295880591</c:v>
                </c:pt>
                <c:pt idx="151">
                  <c:v>0.34093721251354914</c:v>
                </c:pt>
                <c:pt idx="152">
                  <c:v>0.3389012306152519</c:v>
                </c:pt>
                <c:pt idx="153">
                  <c:v>0.33688831574873623</c:v>
                </c:pt>
                <c:pt idx="154">
                  <c:v>0.33489810640536266</c:v>
                </c:pt>
                <c:pt idx="155">
                  <c:v>0.33293024761097867</c:v>
                </c:pt>
                <c:pt idx="156">
                  <c:v>0.33098439082349929</c:v>
                </c:pt>
                <c:pt idx="157">
                  <c:v>0.32906019382967089</c:v>
                </c:pt>
                <c:pt idx="158">
                  <c:v>0.327157320641289</c:v>
                </c:pt>
                <c:pt idx="159">
                  <c:v>0.32527544139111619</c:v>
                </c:pt>
                <c:pt idx="160">
                  <c:v>0.32341423222871524</c:v>
                </c:pt>
                <c:pt idx="161">
                  <c:v>0.32157337521640239</c:v>
                </c:pt>
                <c:pt idx="162">
                  <c:v>0.31975255822548931</c:v>
                </c:pt>
                <c:pt idx="163">
                  <c:v>0.31795147483298369</c:v>
                </c:pt>
                <c:pt idx="164">
                  <c:v>0.31616982421888173</c:v>
                </c:pt>
                <c:pt idx="165">
                  <c:v>0.31440731106418485</c:v>
                </c:pt>
                <c:pt idx="166">
                  <c:v>0.31266364544975189</c:v>
                </c:pt>
                <c:pt idx="167">
                  <c:v>0.31093854275608579</c:v>
                </c:pt>
                <c:pt idx="168">
                  <c:v>0.30923172356414574</c:v>
                </c:pt>
                <c:pt idx="169">
                  <c:v>0.30754291355725816</c:v>
                </c:pt>
                <c:pt idx="170">
                  <c:v>0.30587184342419738</c:v>
                </c:pt>
                <c:pt idx="171">
                  <c:v>0.30421824876349435</c:v>
                </c:pt>
                <c:pt idx="172">
                  <c:v>0.30258186998902104</c:v>
                </c:pt>
                <c:pt idx="173">
                  <c:v>0.30096245223689644</c:v>
                </c:pt>
                <c:pt idx="174">
                  <c:v>0.29935974527374987</c:v>
                </c:pt>
                <c:pt idx="175">
                  <c:v>0.29777350340636921</c:v>
                </c:pt>
                <c:pt idx="176">
                  <c:v>0.29620348539276253</c:v>
                </c:pt>
                <c:pt idx="177">
                  <c:v>0.29464945435464884</c:v>
                </c:pt>
                <c:pt idx="178">
                  <c:v>0.29311117769139416</c:v>
                </c:pt>
                <c:pt idx="179">
                  <c:v>0.29158842699540333</c:v>
                </c:pt>
                <c:pt idx="180">
                  <c:v>0.29008097796897614</c:v>
                </c:pt>
                <c:pt idx="181">
                  <c:v>0.28858861034262573</c:v>
                </c:pt>
                <c:pt idx="182">
                  <c:v>0.28711110779486659</c:v>
                </c:pt>
                <c:pt idx="183">
                  <c:v>0.28564825787346493</c:v>
                </c:pt>
                <c:pt idx="184">
                  <c:v>0.2841998519181459</c:v>
                </c:pt>
                <c:pt idx="185">
                  <c:v>0.28276568498475674</c:v>
                </c:pt>
                <c:pt idx="186">
                  <c:v>0.28134555577086628</c:v>
                </c:pt>
                <c:pt idx="187">
                  <c:v>0.27993926654280132</c:v>
                </c:pt>
                <c:pt idx="188">
                  <c:v>0.27854662306409728</c:v>
                </c:pt>
                <c:pt idx="189">
                  <c:v>0.27716743452535608</c:v>
                </c:pt>
                <c:pt idx="190">
                  <c:v>0.2758015134754922</c:v>
                </c:pt>
                <c:pt idx="191">
                  <c:v>0.27444867575435317</c:v>
                </c:pt>
                <c:pt idx="192">
                  <c:v>0.27310874042669464</c:v>
                </c:pt>
                <c:pt idx="193">
                  <c:v>0.27178152971749403</c:v>
                </c:pt>
                <c:pt idx="194">
                  <c:v>0.27046686894858418</c:v>
                </c:pt>
                <c:pt idx="195">
                  <c:v>0.26916458647658503</c:v>
                </c:pt>
                <c:pt idx="196">
                  <c:v>0.26787451363211767</c:v>
                </c:pt>
                <c:pt idx="197">
                  <c:v>0.26659648466027575</c:v>
                </c:pt>
                <c:pt idx="198">
                  <c:v>0.26533033666233885</c:v>
                </c:pt>
                <c:pt idx="199">
                  <c:v>0.26407590953870186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Sheet1!$Y$1</c:f>
              <c:strCache>
                <c:ptCount val="1"/>
                <c:pt idx="0">
                  <c:v>Pb Sim</c:v>
                </c:pt>
              </c:strCache>
            </c:strRef>
          </c:tx>
          <c:marker>
            <c:symbol val="none"/>
          </c:marker>
          <c:cat>
            <c:numRef>
              <c:f>Analytic!$K$2:$K$201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cat>
          <c:val>
            <c:numRef>
              <c:f>Sheet1!$Y$2:$Y$201</c:f>
              <c:numCache>
                <c:formatCode>0.000000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9.9999999999999995E-7</c:v>
                </c:pt>
                <c:pt idx="11">
                  <c:v>0</c:v>
                </c:pt>
                <c:pt idx="12">
                  <c:v>0</c:v>
                </c:pt>
                <c:pt idx="13">
                  <c:v>3.0000000000000001E-6</c:v>
                </c:pt>
                <c:pt idx="14">
                  <c:v>7.9999999999999996E-6</c:v>
                </c:pt>
                <c:pt idx="15">
                  <c:v>6.0000000000000002E-6</c:v>
                </c:pt>
                <c:pt idx="16">
                  <c:v>7.9999999999999996E-6</c:v>
                </c:pt>
                <c:pt idx="17">
                  <c:v>2.5999999999999998E-5</c:v>
                </c:pt>
                <c:pt idx="18">
                  <c:v>2.5000000000000001E-5</c:v>
                </c:pt>
                <c:pt idx="19">
                  <c:v>5.5999999999999999E-5</c:v>
                </c:pt>
                <c:pt idx="20">
                  <c:v>7.7999999999999999E-5</c:v>
                </c:pt>
                <c:pt idx="21">
                  <c:v>9.1000000000000003E-5</c:v>
                </c:pt>
                <c:pt idx="22">
                  <c:v>1.35E-4</c:v>
                </c:pt>
                <c:pt idx="23">
                  <c:v>2.4600000000000002E-4</c:v>
                </c:pt>
                <c:pt idx="24">
                  <c:v>2.7999999999999998E-4</c:v>
                </c:pt>
                <c:pt idx="25">
                  <c:v>3.4499999999999998E-4</c:v>
                </c:pt>
                <c:pt idx="26">
                  <c:v>3.86E-4</c:v>
                </c:pt>
                <c:pt idx="27">
                  <c:v>5.1800000000000001E-4</c:v>
                </c:pt>
                <c:pt idx="28">
                  <c:v>6.8999999999999997E-4</c:v>
                </c:pt>
                <c:pt idx="29">
                  <c:v>9.5600000000000004E-4</c:v>
                </c:pt>
                <c:pt idx="30">
                  <c:v>9.4799999999999995E-4</c:v>
                </c:pt>
                <c:pt idx="31">
                  <c:v>1.3630000000000001E-3</c:v>
                </c:pt>
                <c:pt idx="32">
                  <c:v>1.534E-3</c:v>
                </c:pt>
                <c:pt idx="33">
                  <c:v>1.7619999999999999E-3</c:v>
                </c:pt>
                <c:pt idx="34">
                  <c:v>2.0669999999999998E-3</c:v>
                </c:pt>
                <c:pt idx="35">
                  <c:v>2.6180000000000001E-3</c:v>
                </c:pt>
                <c:pt idx="36">
                  <c:v>3.1210000000000001E-3</c:v>
                </c:pt>
                <c:pt idx="37">
                  <c:v>3.467E-3</c:v>
                </c:pt>
                <c:pt idx="38">
                  <c:v>4.0790000000000002E-3</c:v>
                </c:pt>
                <c:pt idx="39">
                  <c:v>4.4689999999999999E-3</c:v>
                </c:pt>
                <c:pt idx="40">
                  <c:v>5.4279999999999997E-3</c:v>
                </c:pt>
                <c:pt idx="41">
                  <c:v>6.1960000000000001E-3</c:v>
                </c:pt>
                <c:pt idx="42">
                  <c:v>6.7330000000000003E-3</c:v>
                </c:pt>
                <c:pt idx="43">
                  <c:v>7.5389999999999997E-3</c:v>
                </c:pt>
                <c:pt idx="44">
                  <c:v>8.3029999999999996E-3</c:v>
                </c:pt>
                <c:pt idx="45">
                  <c:v>9.8829999999999994E-3</c:v>
                </c:pt>
                <c:pt idx="46">
                  <c:v>1.0512000000000001E-2</c:v>
                </c:pt>
                <c:pt idx="47">
                  <c:v>1.1837E-2</c:v>
                </c:pt>
                <c:pt idx="48">
                  <c:v>1.3211000000000001E-2</c:v>
                </c:pt>
                <c:pt idx="49">
                  <c:v>1.4540000000000001E-2</c:v>
                </c:pt>
                <c:pt idx="50">
                  <c:v>1.6198000000000001E-2</c:v>
                </c:pt>
                <c:pt idx="51">
                  <c:v>1.7543E-2</c:v>
                </c:pt>
                <c:pt idx="52">
                  <c:v>1.8672999999999999E-2</c:v>
                </c:pt>
                <c:pt idx="53">
                  <c:v>2.0147999999999999E-2</c:v>
                </c:pt>
                <c:pt idx="54">
                  <c:v>2.2055000000000002E-2</c:v>
                </c:pt>
                <c:pt idx="55">
                  <c:v>2.418E-2</c:v>
                </c:pt>
                <c:pt idx="56">
                  <c:v>2.6221999999999999E-2</c:v>
                </c:pt>
                <c:pt idx="57">
                  <c:v>2.7989E-2</c:v>
                </c:pt>
                <c:pt idx="58">
                  <c:v>3.0276000000000001E-2</c:v>
                </c:pt>
                <c:pt idx="59">
                  <c:v>3.2582E-2</c:v>
                </c:pt>
                <c:pt idx="60">
                  <c:v>3.5198E-2</c:v>
                </c:pt>
                <c:pt idx="61">
                  <c:v>3.6963999999999997E-2</c:v>
                </c:pt>
                <c:pt idx="62">
                  <c:v>3.9868000000000001E-2</c:v>
                </c:pt>
                <c:pt idx="63">
                  <c:v>4.1727E-2</c:v>
                </c:pt>
                <c:pt idx="64">
                  <c:v>4.4748999999999997E-2</c:v>
                </c:pt>
                <c:pt idx="65">
                  <c:v>4.6313E-2</c:v>
                </c:pt>
                <c:pt idx="66">
                  <c:v>5.0562000000000003E-2</c:v>
                </c:pt>
                <c:pt idx="67">
                  <c:v>5.2303000000000002E-2</c:v>
                </c:pt>
                <c:pt idx="68">
                  <c:v>5.5218000000000003E-2</c:v>
                </c:pt>
                <c:pt idx="69">
                  <c:v>5.9434000000000001E-2</c:v>
                </c:pt>
                <c:pt idx="70">
                  <c:v>6.1532000000000003E-2</c:v>
                </c:pt>
                <c:pt idx="71">
                  <c:v>6.4404000000000003E-2</c:v>
                </c:pt>
                <c:pt idx="72">
                  <c:v>6.7623000000000003E-2</c:v>
                </c:pt>
                <c:pt idx="73">
                  <c:v>7.0624999999999993E-2</c:v>
                </c:pt>
                <c:pt idx="74">
                  <c:v>7.3916999999999997E-2</c:v>
                </c:pt>
                <c:pt idx="75">
                  <c:v>7.7524999999999997E-2</c:v>
                </c:pt>
                <c:pt idx="76">
                  <c:v>8.0255000000000007E-2</c:v>
                </c:pt>
                <c:pt idx="77">
                  <c:v>8.3478999999999998E-2</c:v>
                </c:pt>
                <c:pt idx="78">
                  <c:v>8.7232000000000004E-2</c:v>
                </c:pt>
                <c:pt idx="79">
                  <c:v>9.0769000000000002E-2</c:v>
                </c:pt>
                <c:pt idx="80">
                  <c:v>9.4863000000000003E-2</c:v>
                </c:pt>
                <c:pt idx="81">
                  <c:v>9.6895999999999996E-2</c:v>
                </c:pt>
                <c:pt idx="82">
                  <c:v>0.100747</c:v>
                </c:pt>
                <c:pt idx="83">
                  <c:v>0.10302600000000001</c:v>
                </c:pt>
                <c:pt idx="84">
                  <c:v>0.108887</c:v>
                </c:pt>
                <c:pt idx="85">
                  <c:v>0.114108</c:v>
                </c:pt>
                <c:pt idx="86">
                  <c:v>0.116036</c:v>
                </c:pt>
                <c:pt idx="87">
                  <c:v>0.119327</c:v>
                </c:pt>
                <c:pt idx="88">
                  <c:v>0.124419</c:v>
                </c:pt>
                <c:pt idx="89">
                  <c:v>0.12673999999999999</c:v>
                </c:pt>
                <c:pt idx="90">
                  <c:v>0.13105</c:v>
                </c:pt>
                <c:pt idx="91">
                  <c:v>0.13578699999999999</c:v>
                </c:pt>
                <c:pt idx="92">
                  <c:v>0.136818</c:v>
                </c:pt>
                <c:pt idx="93">
                  <c:v>0.14081399999999999</c:v>
                </c:pt>
                <c:pt idx="94">
                  <c:v>0.14555799999999999</c:v>
                </c:pt>
                <c:pt idx="95">
                  <c:v>0.148426</c:v>
                </c:pt>
                <c:pt idx="96">
                  <c:v>0.154247</c:v>
                </c:pt>
                <c:pt idx="97">
                  <c:v>0.15781200000000001</c:v>
                </c:pt>
                <c:pt idx="98">
                  <c:v>0.160246</c:v>
                </c:pt>
                <c:pt idx="99">
                  <c:v>0.167019</c:v>
                </c:pt>
                <c:pt idx="100">
                  <c:v>0.17085600000000001</c:v>
                </c:pt>
                <c:pt idx="101">
                  <c:v>0.17361699999999999</c:v>
                </c:pt>
                <c:pt idx="102">
                  <c:v>0.17704</c:v>
                </c:pt>
                <c:pt idx="103">
                  <c:v>0.18187400000000001</c:v>
                </c:pt>
                <c:pt idx="104">
                  <c:v>0.18513299999999999</c:v>
                </c:pt>
                <c:pt idx="105">
                  <c:v>0.18923499999999999</c:v>
                </c:pt>
                <c:pt idx="106">
                  <c:v>0.19314300000000001</c:v>
                </c:pt>
                <c:pt idx="107">
                  <c:v>0.195881</c:v>
                </c:pt>
                <c:pt idx="108">
                  <c:v>0.198578</c:v>
                </c:pt>
                <c:pt idx="109">
                  <c:v>0.203346</c:v>
                </c:pt>
                <c:pt idx="110">
                  <c:v>0.208403</c:v>
                </c:pt>
                <c:pt idx="111">
                  <c:v>0.21029300000000001</c:v>
                </c:pt>
                <c:pt idx="112">
                  <c:v>0.21398200000000001</c:v>
                </c:pt>
                <c:pt idx="113">
                  <c:v>0.218364</c:v>
                </c:pt>
                <c:pt idx="114">
                  <c:v>0.22107099999999999</c:v>
                </c:pt>
                <c:pt idx="115">
                  <c:v>0.22592499999999999</c:v>
                </c:pt>
                <c:pt idx="116">
                  <c:v>0.23013900000000001</c:v>
                </c:pt>
                <c:pt idx="117">
                  <c:v>0.23375099999999999</c:v>
                </c:pt>
                <c:pt idx="118">
                  <c:v>0.235737</c:v>
                </c:pt>
                <c:pt idx="119">
                  <c:v>0.24310699999999999</c:v>
                </c:pt>
                <c:pt idx="120">
                  <c:v>0.24476000000000001</c:v>
                </c:pt>
                <c:pt idx="121">
                  <c:v>0.24793100000000001</c:v>
                </c:pt>
                <c:pt idx="122">
                  <c:v>0.25211</c:v>
                </c:pt>
                <c:pt idx="123">
                  <c:v>0.25744</c:v>
                </c:pt>
                <c:pt idx="124">
                  <c:v>0.25877600000000001</c:v>
                </c:pt>
                <c:pt idx="125">
                  <c:v>0.26449499999999998</c:v>
                </c:pt>
                <c:pt idx="126">
                  <c:v>0.267569</c:v>
                </c:pt>
                <c:pt idx="127">
                  <c:v>0.26977800000000002</c:v>
                </c:pt>
                <c:pt idx="128">
                  <c:v>0.27240700000000001</c:v>
                </c:pt>
                <c:pt idx="129">
                  <c:v>0.27700200000000003</c:v>
                </c:pt>
                <c:pt idx="130">
                  <c:v>0.28068199999999999</c:v>
                </c:pt>
                <c:pt idx="131">
                  <c:v>0.28308899999999998</c:v>
                </c:pt>
                <c:pt idx="132">
                  <c:v>0.28629500000000002</c:v>
                </c:pt>
                <c:pt idx="133">
                  <c:v>0.28976499999999999</c:v>
                </c:pt>
                <c:pt idx="134">
                  <c:v>0.29203899999999999</c:v>
                </c:pt>
                <c:pt idx="135">
                  <c:v>0.29692200000000002</c:v>
                </c:pt>
                <c:pt idx="136">
                  <c:v>0.30200500000000002</c:v>
                </c:pt>
                <c:pt idx="137">
                  <c:v>0.30307299999999998</c:v>
                </c:pt>
                <c:pt idx="138">
                  <c:v>0.30648700000000001</c:v>
                </c:pt>
                <c:pt idx="139">
                  <c:v>0.310805</c:v>
                </c:pt>
                <c:pt idx="140">
                  <c:v>0.31418099999999999</c:v>
                </c:pt>
                <c:pt idx="141">
                  <c:v>0.31592500000000001</c:v>
                </c:pt>
                <c:pt idx="142">
                  <c:v>0.31972</c:v>
                </c:pt>
                <c:pt idx="143">
                  <c:v>0.32293500000000003</c:v>
                </c:pt>
                <c:pt idx="144">
                  <c:v>0.32647500000000002</c:v>
                </c:pt>
                <c:pt idx="145">
                  <c:v>0.32886799999999999</c:v>
                </c:pt>
                <c:pt idx="146">
                  <c:v>0.33362700000000001</c:v>
                </c:pt>
                <c:pt idx="147">
                  <c:v>0.33679199999999998</c:v>
                </c:pt>
                <c:pt idx="148">
                  <c:v>0.34005200000000002</c:v>
                </c:pt>
                <c:pt idx="149">
                  <c:v>0.34259400000000001</c:v>
                </c:pt>
                <c:pt idx="150">
                  <c:v>0.34364600000000001</c:v>
                </c:pt>
                <c:pt idx="151">
                  <c:v>0.34791699999999998</c:v>
                </c:pt>
                <c:pt idx="152">
                  <c:v>0.35115800000000003</c:v>
                </c:pt>
                <c:pt idx="153">
                  <c:v>0.35425299999999998</c:v>
                </c:pt>
                <c:pt idx="154">
                  <c:v>0.356985</c:v>
                </c:pt>
                <c:pt idx="155">
                  <c:v>0.35865599999999997</c:v>
                </c:pt>
                <c:pt idx="156">
                  <c:v>0.36308299999999999</c:v>
                </c:pt>
                <c:pt idx="157">
                  <c:v>0.36518600000000001</c:v>
                </c:pt>
                <c:pt idx="158">
                  <c:v>0.36941400000000002</c:v>
                </c:pt>
                <c:pt idx="159">
                  <c:v>0.37085899999999999</c:v>
                </c:pt>
                <c:pt idx="160">
                  <c:v>0.374413</c:v>
                </c:pt>
                <c:pt idx="161">
                  <c:v>0.37526999999999999</c:v>
                </c:pt>
                <c:pt idx="162">
                  <c:v>0.37837399999999999</c:v>
                </c:pt>
                <c:pt idx="163">
                  <c:v>0.38295400000000002</c:v>
                </c:pt>
                <c:pt idx="164">
                  <c:v>0.38612200000000002</c:v>
                </c:pt>
                <c:pt idx="165">
                  <c:v>0.38835799999999998</c:v>
                </c:pt>
                <c:pt idx="166">
                  <c:v>0.39301000000000003</c:v>
                </c:pt>
                <c:pt idx="167">
                  <c:v>0.393957</c:v>
                </c:pt>
                <c:pt idx="168">
                  <c:v>0.39546500000000001</c:v>
                </c:pt>
                <c:pt idx="169">
                  <c:v>0.39938800000000002</c:v>
                </c:pt>
                <c:pt idx="170">
                  <c:v>0.40324500000000002</c:v>
                </c:pt>
                <c:pt idx="171">
                  <c:v>0.405198</c:v>
                </c:pt>
                <c:pt idx="172">
                  <c:v>0.40768799999999999</c:v>
                </c:pt>
                <c:pt idx="173">
                  <c:v>0.40986699999999998</c:v>
                </c:pt>
                <c:pt idx="174">
                  <c:v>0.41112799999999999</c:v>
                </c:pt>
                <c:pt idx="175">
                  <c:v>0.41542200000000001</c:v>
                </c:pt>
                <c:pt idx="176">
                  <c:v>0.41722599999999999</c:v>
                </c:pt>
                <c:pt idx="177">
                  <c:v>0.42012500000000003</c:v>
                </c:pt>
                <c:pt idx="178">
                  <c:v>0.42269299999999999</c:v>
                </c:pt>
                <c:pt idx="179">
                  <c:v>0.42562899999999998</c:v>
                </c:pt>
                <c:pt idx="180">
                  <c:v>0.42635499999999998</c:v>
                </c:pt>
                <c:pt idx="181">
                  <c:v>0.42965500000000001</c:v>
                </c:pt>
                <c:pt idx="182">
                  <c:v>0.43248399999999998</c:v>
                </c:pt>
                <c:pt idx="183">
                  <c:v>0.43406600000000001</c:v>
                </c:pt>
                <c:pt idx="184">
                  <c:v>0.43676799999999999</c:v>
                </c:pt>
                <c:pt idx="185">
                  <c:v>0.43724000000000002</c:v>
                </c:pt>
                <c:pt idx="186">
                  <c:v>0.44119399999999998</c:v>
                </c:pt>
                <c:pt idx="187">
                  <c:v>0.44428299999999998</c:v>
                </c:pt>
                <c:pt idx="188">
                  <c:v>0.44738299999999998</c:v>
                </c:pt>
                <c:pt idx="189">
                  <c:v>0.44878800000000002</c:v>
                </c:pt>
                <c:pt idx="190">
                  <c:v>0.45252199999999998</c:v>
                </c:pt>
                <c:pt idx="191">
                  <c:v>0.45242700000000002</c:v>
                </c:pt>
                <c:pt idx="192">
                  <c:v>0.455652</c:v>
                </c:pt>
                <c:pt idx="193">
                  <c:v>0.45729199999999998</c:v>
                </c:pt>
                <c:pt idx="194">
                  <c:v>0.45970800000000001</c:v>
                </c:pt>
                <c:pt idx="195">
                  <c:v>0.46243499999999998</c:v>
                </c:pt>
                <c:pt idx="196">
                  <c:v>0.46534199999999998</c:v>
                </c:pt>
                <c:pt idx="197">
                  <c:v>0.46595999999999999</c:v>
                </c:pt>
                <c:pt idx="198">
                  <c:v>0.469225</c:v>
                </c:pt>
                <c:pt idx="199">
                  <c:v>0.46818900000000002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Sheet1!$Z$1</c:f>
              <c:strCache>
                <c:ptCount val="1"/>
                <c:pt idx="0">
                  <c:v>Pd Sim</c:v>
                </c:pt>
              </c:strCache>
            </c:strRef>
          </c:tx>
          <c:marker>
            <c:symbol val="none"/>
          </c:marker>
          <c:val>
            <c:numRef>
              <c:f>Sheet1!$Z$2:$Z$201</c:f>
              <c:numCache>
                <c:formatCode>0.000000</c:formatCode>
                <c:ptCount val="200"/>
                <c:pt idx="0">
                  <c:v>6.3041E-2</c:v>
                </c:pt>
                <c:pt idx="1">
                  <c:v>0.118853</c:v>
                </c:pt>
                <c:pt idx="2">
                  <c:v>0.16955100000000001</c:v>
                </c:pt>
                <c:pt idx="3">
                  <c:v>0.214895</c:v>
                </c:pt>
                <c:pt idx="4">
                  <c:v>0.255324</c:v>
                </c:pt>
                <c:pt idx="5">
                  <c:v>0.29370000000000002</c:v>
                </c:pt>
                <c:pt idx="6">
                  <c:v>0.32769599999999999</c:v>
                </c:pt>
                <c:pt idx="7">
                  <c:v>0.35861799999999999</c:v>
                </c:pt>
                <c:pt idx="8">
                  <c:v>0.38817400000000002</c:v>
                </c:pt>
                <c:pt idx="9">
                  <c:v>0.415769</c:v>
                </c:pt>
                <c:pt idx="10">
                  <c:v>0.43972899999999998</c:v>
                </c:pt>
                <c:pt idx="11">
                  <c:v>0.46253</c:v>
                </c:pt>
                <c:pt idx="12">
                  <c:v>0.48377100000000001</c:v>
                </c:pt>
                <c:pt idx="13">
                  <c:v>0.50287800000000005</c:v>
                </c:pt>
                <c:pt idx="14">
                  <c:v>0.52320599999999995</c:v>
                </c:pt>
                <c:pt idx="15">
                  <c:v>0.53855200000000003</c:v>
                </c:pt>
                <c:pt idx="16">
                  <c:v>0.55567999999999995</c:v>
                </c:pt>
                <c:pt idx="17">
                  <c:v>0.57068399999999997</c:v>
                </c:pt>
                <c:pt idx="18">
                  <c:v>0.58501499999999995</c:v>
                </c:pt>
                <c:pt idx="19">
                  <c:v>0.59890399999999999</c:v>
                </c:pt>
                <c:pt idx="20">
                  <c:v>0.61213499999999998</c:v>
                </c:pt>
                <c:pt idx="21">
                  <c:v>0.62338700000000002</c:v>
                </c:pt>
                <c:pt idx="22">
                  <c:v>0.63509300000000002</c:v>
                </c:pt>
                <c:pt idx="23">
                  <c:v>0.64477899999999999</c:v>
                </c:pt>
                <c:pt idx="24">
                  <c:v>0.655246</c:v>
                </c:pt>
                <c:pt idx="25">
                  <c:v>0.66497899999999999</c:v>
                </c:pt>
                <c:pt idx="26">
                  <c:v>0.67473899999999998</c:v>
                </c:pt>
                <c:pt idx="27">
                  <c:v>0.68431299999999995</c:v>
                </c:pt>
                <c:pt idx="28">
                  <c:v>0.69180699999999995</c:v>
                </c:pt>
                <c:pt idx="29">
                  <c:v>0.69943100000000002</c:v>
                </c:pt>
                <c:pt idx="30">
                  <c:v>0.70631500000000003</c:v>
                </c:pt>
                <c:pt idx="31">
                  <c:v>0.71400300000000005</c:v>
                </c:pt>
                <c:pt idx="32">
                  <c:v>0.72124600000000005</c:v>
                </c:pt>
                <c:pt idx="33">
                  <c:v>0.72670400000000002</c:v>
                </c:pt>
                <c:pt idx="34">
                  <c:v>0.73266600000000004</c:v>
                </c:pt>
                <c:pt idx="35">
                  <c:v>0.738348</c:v>
                </c:pt>
                <c:pt idx="36">
                  <c:v>0.74386799999999997</c:v>
                </c:pt>
                <c:pt idx="37">
                  <c:v>0.74986799999999998</c:v>
                </c:pt>
                <c:pt idx="38">
                  <c:v>0.75457099999999999</c:v>
                </c:pt>
                <c:pt idx="39">
                  <c:v>0.75854200000000005</c:v>
                </c:pt>
                <c:pt idx="40">
                  <c:v>0.76303399999999999</c:v>
                </c:pt>
                <c:pt idx="41">
                  <c:v>0.76785800000000004</c:v>
                </c:pt>
                <c:pt idx="42">
                  <c:v>0.770764</c:v>
                </c:pt>
                <c:pt idx="43">
                  <c:v>0.77441700000000002</c:v>
                </c:pt>
                <c:pt idx="44">
                  <c:v>0.77796900000000002</c:v>
                </c:pt>
                <c:pt idx="45">
                  <c:v>0.78031200000000001</c:v>
                </c:pt>
                <c:pt idx="46">
                  <c:v>0.78419499999999998</c:v>
                </c:pt>
                <c:pt idx="47">
                  <c:v>0.78647299999999998</c:v>
                </c:pt>
                <c:pt idx="48">
                  <c:v>0.78882799999999997</c:v>
                </c:pt>
                <c:pt idx="49">
                  <c:v>0.79112300000000002</c:v>
                </c:pt>
                <c:pt idx="50">
                  <c:v>0.79295199999999999</c:v>
                </c:pt>
                <c:pt idx="51">
                  <c:v>0.79408900000000004</c:v>
                </c:pt>
                <c:pt idx="52">
                  <c:v>0.79684699999999997</c:v>
                </c:pt>
                <c:pt idx="53">
                  <c:v>0.798454</c:v>
                </c:pt>
                <c:pt idx="54">
                  <c:v>0.80035199999999995</c:v>
                </c:pt>
                <c:pt idx="55">
                  <c:v>0.80080300000000004</c:v>
                </c:pt>
                <c:pt idx="56">
                  <c:v>0.80169000000000001</c:v>
                </c:pt>
                <c:pt idx="57">
                  <c:v>0.80241600000000002</c:v>
                </c:pt>
                <c:pt idx="58">
                  <c:v>0.80287900000000001</c:v>
                </c:pt>
                <c:pt idx="59">
                  <c:v>0.80407399999999996</c:v>
                </c:pt>
                <c:pt idx="60">
                  <c:v>0.80368399999999995</c:v>
                </c:pt>
                <c:pt idx="61">
                  <c:v>0.80367500000000003</c:v>
                </c:pt>
                <c:pt idx="62">
                  <c:v>0.80354499999999995</c:v>
                </c:pt>
                <c:pt idx="63">
                  <c:v>0.80439400000000005</c:v>
                </c:pt>
                <c:pt idx="64">
                  <c:v>0.802782</c:v>
                </c:pt>
                <c:pt idx="65">
                  <c:v>0.80340699999999998</c:v>
                </c:pt>
                <c:pt idx="66">
                  <c:v>0.80190899999999998</c:v>
                </c:pt>
                <c:pt idx="67">
                  <c:v>0.80240500000000003</c:v>
                </c:pt>
                <c:pt idx="68">
                  <c:v>0.800871</c:v>
                </c:pt>
                <c:pt idx="69">
                  <c:v>0.79950299999999996</c:v>
                </c:pt>
                <c:pt idx="70">
                  <c:v>0.79905800000000005</c:v>
                </c:pt>
                <c:pt idx="71">
                  <c:v>0.79856700000000003</c:v>
                </c:pt>
                <c:pt idx="72">
                  <c:v>0.796902</c:v>
                </c:pt>
                <c:pt idx="73">
                  <c:v>0.79531600000000002</c:v>
                </c:pt>
                <c:pt idx="74">
                  <c:v>0.79386199999999996</c:v>
                </c:pt>
                <c:pt idx="75">
                  <c:v>0.79232100000000005</c:v>
                </c:pt>
                <c:pt idx="76">
                  <c:v>0.79022099999999995</c:v>
                </c:pt>
                <c:pt idx="77">
                  <c:v>0.78898400000000002</c:v>
                </c:pt>
                <c:pt idx="78">
                  <c:v>0.78719399999999995</c:v>
                </c:pt>
                <c:pt idx="79">
                  <c:v>0.78495099999999995</c:v>
                </c:pt>
                <c:pt idx="80">
                  <c:v>0.78241899999999998</c:v>
                </c:pt>
                <c:pt idx="81">
                  <c:v>0.78162799999999999</c:v>
                </c:pt>
                <c:pt idx="82">
                  <c:v>0.77940200000000004</c:v>
                </c:pt>
                <c:pt idx="83">
                  <c:v>0.778312</c:v>
                </c:pt>
                <c:pt idx="84">
                  <c:v>0.77392899999999998</c:v>
                </c:pt>
                <c:pt idx="85">
                  <c:v>0.77027999999999996</c:v>
                </c:pt>
                <c:pt idx="86">
                  <c:v>0.769791</c:v>
                </c:pt>
                <c:pt idx="87">
                  <c:v>0.767563</c:v>
                </c:pt>
                <c:pt idx="88">
                  <c:v>0.76378699999999999</c:v>
                </c:pt>
                <c:pt idx="89">
                  <c:v>0.76273100000000005</c:v>
                </c:pt>
                <c:pt idx="90">
                  <c:v>0.75931300000000002</c:v>
                </c:pt>
                <c:pt idx="91">
                  <c:v>0.75643400000000005</c:v>
                </c:pt>
                <c:pt idx="92">
                  <c:v>0.75564799999999999</c:v>
                </c:pt>
                <c:pt idx="93">
                  <c:v>0.75284300000000004</c:v>
                </c:pt>
                <c:pt idx="94">
                  <c:v>0.74934900000000004</c:v>
                </c:pt>
                <c:pt idx="95">
                  <c:v>0.74740300000000004</c:v>
                </c:pt>
                <c:pt idx="96">
                  <c:v>0.74294800000000005</c:v>
                </c:pt>
                <c:pt idx="97">
                  <c:v>0.74080199999999996</c:v>
                </c:pt>
                <c:pt idx="98">
                  <c:v>0.73868400000000001</c:v>
                </c:pt>
                <c:pt idx="99">
                  <c:v>0.73394499999999996</c:v>
                </c:pt>
                <c:pt idx="100">
                  <c:v>0.73046100000000003</c:v>
                </c:pt>
                <c:pt idx="101">
                  <c:v>0.72889400000000004</c:v>
                </c:pt>
                <c:pt idx="102">
                  <c:v>0.72594400000000003</c:v>
                </c:pt>
                <c:pt idx="103">
                  <c:v>0.72282400000000002</c:v>
                </c:pt>
                <c:pt idx="104">
                  <c:v>0.72049799999999997</c:v>
                </c:pt>
                <c:pt idx="105">
                  <c:v>0.71673200000000004</c:v>
                </c:pt>
                <c:pt idx="106">
                  <c:v>0.71375</c:v>
                </c:pt>
                <c:pt idx="107">
                  <c:v>0.71195900000000001</c:v>
                </c:pt>
                <c:pt idx="108">
                  <c:v>0.70977699999999999</c:v>
                </c:pt>
                <c:pt idx="109">
                  <c:v>0.706426</c:v>
                </c:pt>
                <c:pt idx="110">
                  <c:v>0.70205600000000001</c:v>
                </c:pt>
                <c:pt idx="111">
                  <c:v>0.70016900000000004</c:v>
                </c:pt>
                <c:pt idx="112">
                  <c:v>0.69784800000000002</c:v>
                </c:pt>
                <c:pt idx="113">
                  <c:v>0.69400399999999995</c:v>
                </c:pt>
                <c:pt idx="114">
                  <c:v>0.69162800000000002</c:v>
                </c:pt>
                <c:pt idx="115">
                  <c:v>0.68767800000000001</c:v>
                </c:pt>
                <c:pt idx="116">
                  <c:v>0.68438100000000002</c:v>
                </c:pt>
                <c:pt idx="117">
                  <c:v>0.68191400000000002</c:v>
                </c:pt>
                <c:pt idx="118">
                  <c:v>0.68009600000000003</c:v>
                </c:pt>
                <c:pt idx="119">
                  <c:v>0.67413400000000001</c:v>
                </c:pt>
                <c:pt idx="120">
                  <c:v>0.67272100000000001</c:v>
                </c:pt>
                <c:pt idx="121">
                  <c:v>0.67012000000000005</c:v>
                </c:pt>
                <c:pt idx="122">
                  <c:v>0.66660399999999997</c:v>
                </c:pt>
                <c:pt idx="123">
                  <c:v>0.66241000000000005</c:v>
                </c:pt>
                <c:pt idx="124">
                  <c:v>0.66120800000000002</c:v>
                </c:pt>
                <c:pt idx="125">
                  <c:v>0.65677700000000006</c:v>
                </c:pt>
                <c:pt idx="126">
                  <c:v>0.65368899999999996</c:v>
                </c:pt>
                <c:pt idx="127">
                  <c:v>0.65185400000000004</c:v>
                </c:pt>
                <c:pt idx="128">
                  <c:v>0.64991900000000002</c:v>
                </c:pt>
                <c:pt idx="129">
                  <c:v>0.64595999999999998</c:v>
                </c:pt>
                <c:pt idx="130">
                  <c:v>0.64303900000000003</c:v>
                </c:pt>
                <c:pt idx="131">
                  <c:v>0.64061900000000005</c:v>
                </c:pt>
                <c:pt idx="132">
                  <c:v>0.63849599999999995</c:v>
                </c:pt>
                <c:pt idx="133">
                  <c:v>0.63529100000000005</c:v>
                </c:pt>
                <c:pt idx="134">
                  <c:v>0.63370899999999997</c:v>
                </c:pt>
                <c:pt idx="135">
                  <c:v>0.62963199999999997</c:v>
                </c:pt>
                <c:pt idx="136">
                  <c:v>0.62529599999999996</c:v>
                </c:pt>
                <c:pt idx="137">
                  <c:v>0.62405600000000006</c:v>
                </c:pt>
                <c:pt idx="138">
                  <c:v>0.62132799999999999</c:v>
                </c:pt>
                <c:pt idx="139">
                  <c:v>0.61786200000000002</c:v>
                </c:pt>
                <c:pt idx="140">
                  <c:v>0.61480699999999999</c:v>
                </c:pt>
                <c:pt idx="141">
                  <c:v>0.61327200000000004</c:v>
                </c:pt>
                <c:pt idx="142">
                  <c:v>0.60997100000000004</c:v>
                </c:pt>
                <c:pt idx="143">
                  <c:v>0.60747099999999998</c:v>
                </c:pt>
                <c:pt idx="144">
                  <c:v>0.60443000000000002</c:v>
                </c:pt>
                <c:pt idx="145">
                  <c:v>0.60255800000000004</c:v>
                </c:pt>
                <c:pt idx="146">
                  <c:v>0.59816199999999997</c:v>
                </c:pt>
                <c:pt idx="147">
                  <c:v>0.59559899999999999</c:v>
                </c:pt>
                <c:pt idx="148">
                  <c:v>0.59297800000000001</c:v>
                </c:pt>
                <c:pt idx="149">
                  <c:v>0.59126400000000001</c:v>
                </c:pt>
                <c:pt idx="150">
                  <c:v>0.59010499999999999</c:v>
                </c:pt>
                <c:pt idx="151">
                  <c:v>0.58640300000000001</c:v>
                </c:pt>
                <c:pt idx="152">
                  <c:v>0.58406400000000003</c:v>
                </c:pt>
                <c:pt idx="153">
                  <c:v>0.58114399999999999</c:v>
                </c:pt>
                <c:pt idx="154">
                  <c:v>0.57856399999999997</c:v>
                </c:pt>
                <c:pt idx="155">
                  <c:v>0.577075</c:v>
                </c:pt>
                <c:pt idx="156">
                  <c:v>0.57327899999999998</c:v>
                </c:pt>
                <c:pt idx="157">
                  <c:v>0.57163399999999998</c:v>
                </c:pt>
                <c:pt idx="158">
                  <c:v>0.56821999999999995</c:v>
                </c:pt>
                <c:pt idx="159">
                  <c:v>0.56682900000000003</c:v>
                </c:pt>
                <c:pt idx="160">
                  <c:v>0.56375699999999995</c:v>
                </c:pt>
                <c:pt idx="161">
                  <c:v>0.56277100000000002</c:v>
                </c:pt>
                <c:pt idx="162">
                  <c:v>0.55979400000000001</c:v>
                </c:pt>
                <c:pt idx="163">
                  <c:v>0.55605599999999999</c:v>
                </c:pt>
                <c:pt idx="164">
                  <c:v>0.55354800000000004</c:v>
                </c:pt>
                <c:pt idx="165">
                  <c:v>0.55134899999999998</c:v>
                </c:pt>
                <c:pt idx="166">
                  <c:v>0.54747199999999996</c:v>
                </c:pt>
                <c:pt idx="167">
                  <c:v>0.54675200000000002</c:v>
                </c:pt>
                <c:pt idx="168">
                  <c:v>0.54525000000000001</c:v>
                </c:pt>
                <c:pt idx="169">
                  <c:v>0.54175899999999999</c:v>
                </c:pt>
                <c:pt idx="170">
                  <c:v>0.53844999999999998</c:v>
                </c:pt>
                <c:pt idx="171">
                  <c:v>0.53675099999999998</c:v>
                </c:pt>
                <c:pt idx="172">
                  <c:v>0.53458799999999995</c:v>
                </c:pt>
                <c:pt idx="173">
                  <c:v>0.53275799999999995</c:v>
                </c:pt>
                <c:pt idx="174">
                  <c:v>0.53167799999999998</c:v>
                </c:pt>
                <c:pt idx="175">
                  <c:v>0.52784600000000004</c:v>
                </c:pt>
                <c:pt idx="176">
                  <c:v>0.52623500000000001</c:v>
                </c:pt>
                <c:pt idx="177">
                  <c:v>0.52385199999999998</c:v>
                </c:pt>
                <c:pt idx="178">
                  <c:v>0.52174100000000001</c:v>
                </c:pt>
                <c:pt idx="179">
                  <c:v>0.518787</c:v>
                </c:pt>
                <c:pt idx="180">
                  <c:v>0.51817199999999997</c:v>
                </c:pt>
                <c:pt idx="181">
                  <c:v>0.51536499999999996</c:v>
                </c:pt>
                <c:pt idx="182">
                  <c:v>0.51273999999999997</c:v>
                </c:pt>
                <c:pt idx="183">
                  <c:v>0.51163400000000003</c:v>
                </c:pt>
                <c:pt idx="184">
                  <c:v>0.50883599999999996</c:v>
                </c:pt>
                <c:pt idx="185">
                  <c:v>0.50859200000000004</c:v>
                </c:pt>
                <c:pt idx="186">
                  <c:v>0.50534500000000004</c:v>
                </c:pt>
                <c:pt idx="187">
                  <c:v>0.50275499999999995</c:v>
                </c:pt>
                <c:pt idx="188">
                  <c:v>0.50003200000000003</c:v>
                </c:pt>
                <c:pt idx="189">
                  <c:v>0.498581</c:v>
                </c:pt>
                <c:pt idx="190">
                  <c:v>0.49536200000000002</c:v>
                </c:pt>
                <c:pt idx="191">
                  <c:v>0.49562400000000001</c:v>
                </c:pt>
                <c:pt idx="192">
                  <c:v>0.49311300000000002</c:v>
                </c:pt>
                <c:pt idx="193">
                  <c:v>0.49109399999999997</c:v>
                </c:pt>
                <c:pt idx="194">
                  <c:v>0.489116</c:v>
                </c:pt>
                <c:pt idx="195">
                  <c:v>0.48645500000000003</c:v>
                </c:pt>
                <c:pt idx="196">
                  <c:v>0.483987</c:v>
                </c:pt>
                <c:pt idx="197">
                  <c:v>0.48373100000000002</c:v>
                </c:pt>
                <c:pt idx="198">
                  <c:v>0.48074899999999998</c:v>
                </c:pt>
                <c:pt idx="199">
                  <c:v>0.48136400000000001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028416"/>
        <c:axId val="92160000"/>
      </c:lineChart>
      <c:catAx>
        <c:axId val="92028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Lambda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160000"/>
        <c:crosses val="autoZero"/>
        <c:auto val="1"/>
        <c:lblAlgn val="ctr"/>
        <c:lblOffset val="100"/>
        <c:tickMarkSkip val="10"/>
        <c:noMultiLvlLbl val="0"/>
      </c:catAx>
      <c:valAx>
        <c:axId val="92160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/>
                  <a:t>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2028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786240</xdr:colOff>
      <xdr:row>4</xdr:row>
      <xdr:rowOff>133920</xdr:rowOff>
    </xdr:from>
    <xdr:to>
      <xdr:col>15</xdr:col>
      <xdr:colOff>66240</xdr:colOff>
      <xdr:row>25</xdr:row>
      <xdr:rowOff>133920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46800</xdr:colOff>
      <xdr:row>5</xdr:row>
      <xdr:rowOff>58320</xdr:rowOff>
    </xdr:from>
    <xdr:to>
      <xdr:col>22</xdr:col>
      <xdr:colOff>116640</xdr:colOff>
      <xdr:row>25</xdr:row>
      <xdr:rowOff>46800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676275</xdr:colOff>
      <xdr:row>24</xdr:row>
      <xdr:rowOff>33337</xdr:rowOff>
    </xdr:from>
    <xdr:to>
      <xdr:col>21</xdr:col>
      <xdr:colOff>619125</xdr:colOff>
      <xdr:row>41</xdr:row>
      <xdr:rowOff>23812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404811</xdr:colOff>
      <xdr:row>4</xdr:row>
      <xdr:rowOff>104775</xdr:rowOff>
    </xdr:from>
    <xdr:to>
      <xdr:col>23</xdr:col>
      <xdr:colOff>352424</xdr:colOff>
      <xdr:row>27</xdr:row>
      <xdr:rowOff>61912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38100</xdr:rowOff>
        </xdr:from>
        <xdr:to>
          <xdr:col>16</xdr:col>
          <xdr:colOff>333375</xdr:colOff>
          <xdr:row>3</xdr:row>
          <xdr:rowOff>19050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01"/>
  <sheetViews>
    <sheetView topLeftCell="I25" zoomScaleNormal="100" workbookViewId="0">
      <selection activeCell="Z2" sqref="Z2"/>
    </sheetView>
  </sheetViews>
  <sheetFormatPr defaultRowHeight="12.75" x14ac:dyDescent="0.2"/>
  <cols>
    <col min="1" max="24" width="11.5703125"/>
    <col min="25" max="26" width="11.5703125" style="1"/>
    <col min="27" max="1025" width="11.5703125"/>
  </cols>
  <sheetData>
    <row r="1" spans="1:27" x14ac:dyDescent="0.2">
      <c r="A1">
        <v>0.1</v>
      </c>
      <c r="B1" t="s">
        <v>0</v>
      </c>
      <c r="C1">
        <v>0</v>
      </c>
      <c r="D1" t="s">
        <v>1</v>
      </c>
      <c r="E1">
        <v>7.2999999999999995E-2</v>
      </c>
      <c r="G1">
        <v>0.1</v>
      </c>
      <c r="H1">
        <v>0</v>
      </c>
      <c r="I1">
        <v>7.2999999999999995E-2</v>
      </c>
      <c r="K1">
        <v>0.1</v>
      </c>
      <c r="L1" t="s">
        <v>0</v>
      </c>
      <c r="M1">
        <v>0</v>
      </c>
      <c r="N1" t="s">
        <v>1</v>
      </c>
      <c r="O1">
        <v>5.0999999999999997E-2</v>
      </c>
      <c r="Q1">
        <v>0.1</v>
      </c>
      <c r="R1" t="s">
        <v>0</v>
      </c>
      <c r="S1">
        <v>0</v>
      </c>
      <c r="T1" t="s">
        <v>1</v>
      </c>
      <c r="U1">
        <v>0.06</v>
      </c>
      <c r="X1" t="s">
        <v>2</v>
      </c>
      <c r="Y1" s="1" t="s">
        <v>12</v>
      </c>
      <c r="Z1" s="1" t="s">
        <v>13</v>
      </c>
      <c r="AA1" t="s">
        <v>9</v>
      </c>
    </row>
    <row r="2" spans="1:27" x14ac:dyDescent="0.2">
      <c r="A2">
        <v>0.2</v>
      </c>
      <c r="B2" t="s">
        <v>0</v>
      </c>
      <c r="C2">
        <v>0</v>
      </c>
      <c r="D2" t="s">
        <v>1</v>
      </c>
      <c r="E2">
        <v>0.121</v>
      </c>
      <c r="G2">
        <v>0.2</v>
      </c>
      <c r="H2">
        <v>0</v>
      </c>
      <c r="I2">
        <v>0.121</v>
      </c>
      <c r="K2">
        <v>0.2</v>
      </c>
      <c r="L2" t="s">
        <v>0</v>
      </c>
      <c r="M2">
        <v>0</v>
      </c>
      <c r="N2" t="s">
        <v>1</v>
      </c>
      <c r="O2">
        <v>0.13700000000000001</v>
      </c>
      <c r="Q2">
        <v>0.2</v>
      </c>
      <c r="R2" t="s">
        <v>0</v>
      </c>
      <c r="S2">
        <v>0</v>
      </c>
      <c r="T2" t="s">
        <v>1</v>
      </c>
      <c r="U2">
        <v>0.104</v>
      </c>
      <c r="X2">
        <v>0.1</v>
      </c>
      <c r="Y2" s="1">
        <v>0</v>
      </c>
      <c r="Z2" s="1">
        <v>6.3041E-2</v>
      </c>
      <c r="AA2" s="1">
        <f>SUM(Y2:Z2)</f>
        <v>6.3041E-2</v>
      </c>
    </row>
    <row r="3" spans="1:27" x14ac:dyDescent="0.2">
      <c r="A3">
        <v>0.3</v>
      </c>
      <c r="B3" t="s">
        <v>0</v>
      </c>
      <c r="C3">
        <v>0</v>
      </c>
      <c r="D3" t="s">
        <v>1</v>
      </c>
      <c r="E3">
        <v>0.186</v>
      </c>
      <c r="G3">
        <v>0.3</v>
      </c>
      <c r="H3">
        <v>0</v>
      </c>
      <c r="I3">
        <v>0.186</v>
      </c>
      <c r="K3">
        <v>0.3</v>
      </c>
      <c r="L3" t="s">
        <v>0</v>
      </c>
      <c r="M3">
        <v>0</v>
      </c>
      <c r="N3" t="s">
        <v>1</v>
      </c>
      <c r="O3">
        <v>0.16900000000000001</v>
      </c>
      <c r="Q3">
        <v>0.3</v>
      </c>
      <c r="R3" t="s">
        <v>0</v>
      </c>
      <c r="S3">
        <v>0</v>
      </c>
      <c r="T3" t="s">
        <v>1</v>
      </c>
      <c r="U3">
        <v>0.156</v>
      </c>
      <c r="X3">
        <v>0.2</v>
      </c>
      <c r="Y3" s="1">
        <v>0</v>
      </c>
      <c r="Z3" s="1">
        <v>0.118853</v>
      </c>
      <c r="AA3" s="1">
        <f t="shared" ref="AA3:AA66" si="0">SUM(Y3:Z3)</f>
        <v>0.118853</v>
      </c>
    </row>
    <row r="4" spans="1:27" x14ac:dyDescent="0.2">
      <c r="A4">
        <v>0.4</v>
      </c>
      <c r="B4" t="s">
        <v>0</v>
      </c>
      <c r="C4">
        <v>0</v>
      </c>
      <c r="D4" t="s">
        <v>1</v>
      </c>
      <c r="E4">
        <v>0.223</v>
      </c>
      <c r="G4">
        <v>0.4</v>
      </c>
      <c r="H4">
        <v>0</v>
      </c>
      <c r="I4">
        <v>0.223</v>
      </c>
      <c r="K4">
        <v>0.4</v>
      </c>
      <c r="L4" t="s">
        <v>0</v>
      </c>
      <c r="M4">
        <v>0</v>
      </c>
      <c r="N4" t="s">
        <v>1</v>
      </c>
      <c r="O4">
        <v>0.219</v>
      </c>
      <c r="Q4">
        <v>0.4</v>
      </c>
      <c r="R4" t="s">
        <v>0</v>
      </c>
      <c r="S4">
        <v>0</v>
      </c>
      <c r="T4" t="s">
        <v>1</v>
      </c>
      <c r="U4">
        <v>0.23499999999999999</v>
      </c>
      <c r="X4">
        <v>0.3</v>
      </c>
      <c r="Y4" s="1">
        <v>0</v>
      </c>
      <c r="Z4" s="1">
        <v>0.16955100000000001</v>
      </c>
      <c r="AA4" s="1">
        <f t="shared" si="0"/>
        <v>0.16955100000000001</v>
      </c>
    </row>
    <row r="5" spans="1:27" x14ac:dyDescent="0.2">
      <c r="A5">
        <v>0.5</v>
      </c>
      <c r="B5" t="s">
        <v>0</v>
      </c>
      <c r="C5">
        <v>0</v>
      </c>
      <c r="D5" t="s">
        <v>1</v>
      </c>
      <c r="E5">
        <v>0.245</v>
      </c>
      <c r="G5">
        <v>0.5</v>
      </c>
      <c r="H5">
        <v>0</v>
      </c>
      <c r="I5">
        <v>0.245</v>
      </c>
      <c r="K5">
        <v>0.5</v>
      </c>
      <c r="L5" t="s">
        <v>0</v>
      </c>
      <c r="M5">
        <v>0</v>
      </c>
      <c r="N5" t="s">
        <v>1</v>
      </c>
      <c r="O5">
        <v>0.246</v>
      </c>
      <c r="Q5">
        <v>0.5</v>
      </c>
      <c r="R5" t="s">
        <v>0</v>
      </c>
      <c r="S5">
        <v>0</v>
      </c>
      <c r="T5" t="s">
        <v>1</v>
      </c>
      <c r="U5">
        <v>0.25900000000000001</v>
      </c>
      <c r="X5">
        <v>0.4</v>
      </c>
      <c r="Y5" s="1">
        <v>0</v>
      </c>
      <c r="Z5" s="1">
        <v>0.214895</v>
      </c>
      <c r="AA5" s="1">
        <f t="shared" si="0"/>
        <v>0.214895</v>
      </c>
    </row>
    <row r="6" spans="1:27" x14ac:dyDescent="0.2">
      <c r="A6">
        <v>0.6</v>
      </c>
      <c r="B6" t="s">
        <v>0</v>
      </c>
      <c r="C6">
        <v>0</v>
      </c>
      <c r="D6" t="s">
        <v>1</v>
      </c>
      <c r="E6">
        <v>0.28699999999999998</v>
      </c>
      <c r="G6">
        <v>0.6</v>
      </c>
      <c r="H6">
        <v>0</v>
      </c>
      <c r="I6">
        <v>0.28699999999999998</v>
      </c>
      <c r="K6">
        <v>0.6</v>
      </c>
      <c r="L6" t="s">
        <v>0</v>
      </c>
      <c r="M6">
        <v>0</v>
      </c>
      <c r="N6" t="s">
        <v>1</v>
      </c>
      <c r="O6">
        <v>0.31</v>
      </c>
      <c r="Q6">
        <v>0.6</v>
      </c>
      <c r="R6" t="s">
        <v>0</v>
      </c>
      <c r="S6">
        <v>0</v>
      </c>
      <c r="T6" t="s">
        <v>1</v>
      </c>
      <c r="U6">
        <v>0.30599999999999999</v>
      </c>
      <c r="X6">
        <v>0.5</v>
      </c>
      <c r="Y6" s="1">
        <v>0</v>
      </c>
      <c r="Z6" s="1">
        <v>0.255324</v>
      </c>
      <c r="AA6" s="1">
        <f t="shared" si="0"/>
        <v>0.255324</v>
      </c>
    </row>
    <row r="7" spans="1:27" x14ac:dyDescent="0.2">
      <c r="A7">
        <v>0.7</v>
      </c>
      <c r="B7" t="s">
        <v>0</v>
      </c>
      <c r="C7">
        <v>0</v>
      </c>
      <c r="D7" t="s">
        <v>1</v>
      </c>
      <c r="E7">
        <v>0.32500000000000001</v>
      </c>
      <c r="G7">
        <v>0.7</v>
      </c>
      <c r="H7">
        <v>0</v>
      </c>
      <c r="I7">
        <v>0.32500000000000001</v>
      </c>
      <c r="K7">
        <v>0.7</v>
      </c>
      <c r="L7" t="s">
        <v>0</v>
      </c>
      <c r="M7">
        <v>0</v>
      </c>
      <c r="N7" t="s">
        <v>1</v>
      </c>
      <c r="O7">
        <v>0.34599999999999997</v>
      </c>
      <c r="Q7">
        <v>0.7</v>
      </c>
      <c r="R7" t="s">
        <v>0</v>
      </c>
      <c r="S7">
        <v>0</v>
      </c>
      <c r="T7" t="s">
        <v>1</v>
      </c>
      <c r="U7">
        <v>0.309</v>
      </c>
      <c r="X7">
        <v>0.6</v>
      </c>
      <c r="Y7" s="1">
        <v>0</v>
      </c>
      <c r="Z7" s="1">
        <v>0.29370000000000002</v>
      </c>
      <c r="AA7" s="1">
        <f t="shared" si="0"/>
        <v>0.29370000000000002</v>
      </c>
    </row>
    <row r="8" spans="1:27" x14ac:dyDescent="0.2">
      <c r="A8">
        <v>0.8</v>
      </c>
      <c r="B8" t="s">
        <v>0</v>
      </c>
      <c r="C8">
        <v>0</v>
      </c>
      <c r="D8" t="s">
        <v>1</v>
      </c>
      <c r="E8">
        <v>0.34799999999999998</v>
      </c>
      <c r="G8">
        <v>0.8</v>
      </c>
      <c r="H8">
        <v>0</v>
      </c>
      <c r="I8">
        <v>0.34799999999999998</v>
      </c>
      <c r="K8">
        <v>0.8</v>
      </c>
      <c r="L8" t="s">
        <v>0</v>
      </c>
      <c r="M8">
        <v>0</v>
      </c>
      <c r="N8" t="s">
        <v>1</v>
      </c>
      <c r="O8">
        <v>0.32600000000000001</v>
      </c>
      <c r="Q8">
        <v>0.8</v>
      </c>
      <c r="R8" t="s">
        <v>0</v>
      </c>
      <c r="S8">
        <v>0</v>
      </c>
      <c r="T8" t="s">
        <v>1</v>
      </c>
      <c r="U8">
        <v>0.34300000000000003</v>
      </c>
      <c r="X8">
        <v>0.7</v>
      </c>
      <c r="Y8" s="1">
        <v>0</v>
      </c>
      <c r="Z8" s="1">
        <v>0.32769599999999999</v>
      </c>
      <c r="AA8" s="1">
        <f t="shared" si="0"/>
        <v>0.32769599999999999</v>
      </c>
    </row>
    <row r="9" spans="1:27" x14ac:dyDescent="0.2">
      <c r="A9">
        <v>0.9</v>
      </c>
      <c r="B9" t="s">
        <v>0</v>
      </c>
      <c r="C9">
        <v>0</v>
      </c>
      <c r="D9" t="s">
        <v>1</v>
      </c>
      <c r="E9">
        <v>0.38300000000000001</v>
      </c>
      <c r="G9">
        <v>0.9</v>
      </c>
      <c r="H9">
        <v>0</v>
      </c>
      <c r="I9">
        <v>0.38300000000000001</v>
      </c>
      <c r="K9">
        <v>0.9</v>
      </c>
      <c r="L9" t="s">
        <v>0</v>
      </c>
      <c r="M9">
        <v>0</v>
      </c>
      <c r="N9" t="s">
        <v>1</v>
      </c>
      <c r="O9">
        <v>0.40600000000000003</v>
      </c>
      <c r="Q9">
        <v>0.9</v>
      </c>
      <c r="R9" t="s">
        <v>0</v>
      </c>
      <c r="S9">
        <v>0</v>
      </c>
      <c r="T9" t="s">
        <v>1</v>
      </c>
      <c r="U9">
        <v>0.40699999999999997</v>
      </c>
      <c r="X9">
        <v>0.8</v>
      </c>
      <c r="Y9" s="1">
        <v>0</v>
      </c>
      <c r="Z9" s="1">
        <v>0.35861799999999999</v>
      </c>
      <c r="AA9" s="1">
        <f t="shared" si="0"/>
        <v>0.35861799999999999</v>
      </c>
    </row>
    <row r="10" spans="1:27" x14ac:dyDescent="0.2">
      <c r="A10">
        <v>1</v>
      </c>
      <c r="B10" t="s">
        <v>0</v>
      </c>
      <c r="C10">
        <v>0</v>
      </c>
      <c r="D10" t="s">
        <v>1</v>
      </c>
      <c r="E10">
        <v>0.443</v>
      </c>
      <c r="G10">
        <v>1</v>
      </c>
      <c r="H10">
        <v>0</v>
      </c>
      <c r="I10">
        <v>0.443</v>
      </c>
      <c r="K10">
        <v>1</v>
      </c>
      <c r="L10" t="s">
        <v>0</v>
      </c>
      <c r="M10">
        <v>0</v>
      </c>
      <c r="N10" t="s">
        <v>1</v>
      </c>
      <c r="O10">
        <v>0.44400000000000001</v>
      </c>
      <c r="Q10">
        <v>1</v>
      </c>
      <c r="R10" t="s">
        <v>0</v>
      </c>
      <c r="S10">
        <v>0</v>
      </c>
      <c r="T10" t="s">
        <v>1</v>
      </c>
      <c r="U10">
        <v>0.433</v>
      </c>
      <c r="X10">
        <v>0.9</v>
      </c>
      <c r="Y10" s="1">
        <v>0</v>
      </c>
      <c r="Z10" s="1">
        <v>0.38817400000000002</v>
      </c>
      <c r="AA10" s="1">
        <f t="shared" si="0"/>
        <v>0.38817400000000002</v>
      </c>
    </row>
    <row r="11" spans="1:27" x14ac:dyDescent="0.2">
      <c r="A11">
        <v>1.1000000000000001</v>
      </c>
      <c r="B11" t="s">
        <v>0</v>
      </c>
      <c r="C11">
        <v>0</v>
      </c>
      <c r="D11" t="s">
        <v>1</v>
      </c>
      <c r="E11">
        <v>0.435</v>
      </c>
      <c r="G11">
        <v>1.1000000000000001</v>
      </c>
      <c r="H11">
        <v>0</v>
      </c>
      <c r="I11">
        <v>0.435</v>
      </c>
      <c r="K11">
        <v>1.1000000000000001</v>
      </c>
      <c r="L11" t="s">
        <v>0</v>
      </c>
      <c r="M11">
        <v>0</v>
      </c>
      <c r="N11" t="s">
        <v>1</v>
      </c>
      <c r="O11">
        <v>0.42899999999999999</v>
      </c>
      <c r="Q11">
        <v>1.1000000000000001</v>
      </c>
      <c r="R11" t="s">
        <v>0</v>
      </c>
      <c r="S11">
        <v>0</v>
      </c>
      <c r="T11" t="s">
        <v>1</v>
      </c>
      <c r="U11">
        <v>0.439</v>
      </c>
      <c r="X11">
        <v>1</v>
      </c>
      <c r="Y11" s="1">
        <v>0</v>
      </c>
      <c r="Z11" s="1">
        <v>0.415769</v>
      </c>
      <c r="AA11" s="1">
        <f t="shared" si="0"/>
        <v>0.415769</v>
      </c>
    </row>
    <row r="12" spans="1:27" x14ac:dyDescent="0.2">
      <c r="A12">
        <v>1.2</v>
      </c>
      <c r="B12" t="s">
        <v>0</v>
      </c>
      <c r="C12">
        <v>0</v>
      </c>
      <c r="D12" t="s">
        <v>1</v>
      </c>
      <c r="E12">
        <v>0.49299999999999999</v>
      </c>
      <c r="G12">
        <v>1.2</v>
      </c>
      <c r="H12">
        <v>0</v>
      </c>
      <c r="I12">
        <v>0.49299999999999999</v>
      </c>
      <c r="K12">
        <v>1.2</v>
      </c>
      <c r="L12" t="s">
        <v>0</v>
      </c>
      <c r="M12">
        <v>0</v>
      </c>
      <c r="N12" t="s">
        <v>1</v>
      </c>
      <c r="O12">
        <v>0.46200000000000002</v>
      </c>
      <c r="Q12">
        <v>1.2</v>
      </c>
      <c r="R12" t="s">
        <v>0</v>
      </c>
      <c r="S12">
        <v>0</v>
      </c>
      <c r="T12" t="s">
        <v>1</v>
      </c>
      <c r="U12">
        <v>0.47699999999999998</v>
      </c>
      <c r="X12">
        <v>1.1000000000000001</v>
      </c>
      <c r="Y12" s="1">
        <v>9.9999999999999995E-7</v>
      </c>
      <c r="Z12" s="1">
        <v>0.43972899999999998</v>
      </c>
      <c r="AA12" s="1">
        <f t="shared" si="0"/>
        <v>0.43972999999999995</v>
      </c>
    </row>
    <row r="13" spans="1:27" x14ac:dyDescent="0.2">
      <c r="A13">
        <v>1.3</v>
      </c>
      <c r="B13" t="s">
        <v>0</v>
      </c>
      <c r="C13">
        <v>0</v>
      </c>
      <c r="D13" t="s">
        <v>1</v>
      </c>
      <c r="E13">
        <v>0.48099999999999998</v>
      </c>
      <c r="G13">
        <v>1.3</v>
      </c>
      <c r="H13">
        <v>0</v>
      </c>
      <c r="I13">
        <v>0.48099999999999998</v>
      </c>
      <c r="K13">
        <v>1.3</v>
      </c>
      <c r="L13" t="s">
        <v>0</v>
      </c>
      <c r="M13">
        <v>0</v>
      </c>
      <c r="N13" t="s">
        <v>1</v>
      </c>
      <c r="O13">
        <v>0.48</v>
      </c>
      <c r="Q13">
        <v>1.3</v>
      </c>
      <c r="R13" t="s">
        <v>0</v>
      </c>
      <c r="S13">
        <v>0</v>
      </c>
      <c r="T13" t="s">
        <v>1</v>
      </c>
      <c r="U13">
        <v>0.47599999999999998</v>
      </c>
      <c r="X13">
        <v>1.2</v>
      </c>
      <c r="Y13" s="1">
        <v>0</v>
      </c>
      <c r="Z13" s="1">
        <v>0.46253</v>
      </c>
      <c r="AA13" s="1">
        <f t="shared" si="0"/>
        <v>0.46253</v>
      </c>
    </row>
    <row r="14" spans="1:27" x14ac:dyDescent="0.2">
      <c r="A14">
        <v>1.4</v>
      </c>
      <c r="B14" t="s">
        <v>0</v>
      </c>
      <c r="C14">
        <v>0</v>
      </c>
      <c r="D14" t="s">
        <v>1</v>
      </c>
      <c r="E14">
        <v>0.53300000000000003</v>
      </c>
      <c r="G14">
        <v>1.4</v>
      </c>
      <c r="H14">
        <v>0</v>
      </c>
      <c r="I14">
        <v>0.53300000000000003</v>
      </c>
      <c r="K14">
        <v>1.4</v>
      </c>
      <c r="L14" t="s">
        <v>0</v>
      </c>
      <c r="M14">
        <v>0</v>
      </c>
      <c r="N14" t="s">
        <v>1</v>
      </c>
      <c r="O14">
        <v>0.48699999999999999</v>
      </c>
      <c r="Q14">
        <v>1.4</v>
      </c>
      <c r="R14" t="s">
        <v>0</v>
      </c>
      <c r="S14">
        <v>0</v>
      </c>
      <c r="T14" t="s">
        <v>1</v>
      </c>
      <c r="U14">
        <v>0.47299999999999998</v>
      </c>
      <c r="X14">
        <v>1.3</v>
      </c>
      <c r="Y14" s="1">
        <v>0</v>
      </c>
      <c r="Z14" s="1">
        <v>0.48377100000000001</v>
      </c>
      <c r="AA14" s="1">
        <f t="shared" si="0"/>
        <v>0.48377100000000001</v>
      </c>
    </row>
    <row r="15" spans="1:27" x14ac:dyDescent="0.2">
      <c r="A15">
        <v>1.5</v>
      </c>
      <c r="B15" t="s">
        <v>0</v>
      </c>
      <c r="C15">
        <v>0</v>
      </c>
      <c r="D15" t="s">
        <v>1</v>
      </c>
      <c r="E15">
        <v>0.51100000000000001</v>
      </c>
      <c r="G15">
        <v>1.5</v>
      </c>
      <c r="H15">
        <v>0</v>
      </c>
      <c r="I15">
        <v>0.51100000000000001</v>
      </c>
      <c r="K15">
        <v>1.5</v>
      </c>
      <c r="L15" t="s">
        <v>0</v>
      </c>
      <c r="M15">
        <v>0</v>
      </c>
      <c r="N15" t="s">
        <v>1</v>
      </c>
      <c r="O15">
        <v>0.496</v>
      </c>
      <c r="Q15">
        <v>1.5</v>
      </c>
      <c r="R15" t="s">
        <v>0</v>
      </c>
      <c r="S15">
        <v>0</v>
      </c>
      <c r="T15" t="s">
        <v>1</v>
      </c>
      <c r="U15">
        <v>0.53</v>
      </c>
      <c r="X15">
        <v>1.4</v>
      </c>
      <c r="Y15" s="1">
        <v>3.0000000000000001E-6</v>
      </c>
      <c r="Z15" s="1">
        <v>0.50287800000000005</v>
      </c>
      <c r="AA15" s="1">
        <f t="shared" si="0"/>
        <v>0.50288100000000002</v>
      </c>
    </row>
    <row r="16" spans="1:27" x14ac:dyDescent="0.2">
      <c r="A16">
        <v>1.6</v>
      </c>
      <c r="B16" t="s">
        <v>0</v>
      </c>
      <c r="C16">
        <v>0</v>
      </c>
      <c r="D16" t="s">
        <v>1</v>
      </c>
      <c r="E16">
        <v>0.51500000000000001</v>
      </c>
      <c r="G16">
        <v>1.6</v>
      </c>
      <c r="H16">
        <v>0</v>
      </c>
      <c r="I16">
        <v>0.51500000000000001</v>
      </c>
      <c r="K16">
        <v>1.6</v>
      </c>
      <c r="L16" t="s">
        <v>0</v>
      </c>
      <c r="M16">
        <v>0</v>
      </c>
      <c r="N16" t="s">
        <v>1</v>
      </c>
      <c r="O16">
        <v>0.54600000000000004</v>
      </c>
      <c r="Q16">
        <v>1.6</v>
      </c>
      <c r="R16" t="s">
        <v>0</v>
      </c>
      <c r="S16">
        <v>0</v>
      </c>
      <c r="T16" t="s">
        <v>1</v>
      </c>
      <c r="U16">
        <v>0.54200000000000004</v>
      </c>
      <c r="X16">
        <v>1.5</v>
      </c>
      <c r="Y16" s="1">
        <v>7.9999999999999996E-6</v>
      </c>
      <c r="Z16" s="1">
        <v>0.52320599999999995</v>
      </c>
      <c r="AA16" s="1">
        <f t="shared" si="0"/>
        <v>0.52321399999999996</v>
      </c>
    </row>
    <row r="17" spans="1:27" x14ac:dyDescent="0.2">
      <c r="A17">
        <v>1.7</v>
      </c>
      <c r="B17" t="s">
        <v>0</v>
      </c>
      <c r="C17">
        <v>0</v>
      </c>
      <c r="D17" t="s">
        <v>1</v>
      </c>
      <c r="E17">
        <v>0.52700000000000002</v>
      </c>
      <c r="G17">
        <v>1.7</v>
      </c>
      <c r="H17">
        <v>0</v>
      </c>
      <c r="I17">
        <v>0.52700000000000002</v>
      </c>
      <c r="K17">
        <v>1.7</v>
      </c>
      <c r="L17" t="s">
        <v>0</v>
      </c>
      <c r="M17">
        <v>0</v>
      </c>
      <c r="N17" t="s">
        <v>1</v>
      </c>
      <c r="O17">
        <v>0.56899999999999995</v>
      </c>
      <c r="Q17">
        <v>1.7</v>
      </c>
      <c r="R17" t="s">
        <v>0</v>
      </c>
      <c r="S17">
        <v>0</v>
      </c>
      <c r="T17" t="s">
        <v>1</v>
      </c>
      <c r="U17">
        <v>0.54900000000000004</v>
      </c>
      <c r="X17">
        <v>1.6</v>
      </c>
      <c r="Y17" s="1">
        <v>6.0000000000000002E-6</v>
      </c>
      <c r="Z17" s="1">
        <v>0.53855200000000003</v>
      </c>
      <c r="AA17" s="1">
        <f t="shared" si="0"/>
        <v>0.53855799999999998</v>
      </c>
    </row>
    <row r="18" spans="1:27" x14ac:dyDescent="0.2">
      <c r="A18">
        <v>1.8</v>
      </c>
      <c r="B18" t="s">
        <v>0</v>
      </c>
      <c r="C18">
        <v>0</v>
      </c>
      <c r="D18" t="s">
        <v>1</v>
      </c>
      <c r="E18">
        <v>0.58699999999999997</v>
      </c>
      <c r="G18">
        <v>1.8</v>
      </c>
      <c r="H18">
        <v>0</v>
      </c>
      <c r="I18">
        <v>0.58699999999999997</v>
      </c>
      <c r="K18">
        <v>1.8</v>
      </c>
      <c r="L18" t="s">
        <v>0</v>
      </c>
      <c r="M18">
        <v>0</v>
      </c>
      <c r="N18" t="s">
        <v>1</v>
      </c>
      <c r="O18">
        <v>0.57499999999999996</v>
      </c>
      <c r="Q18">
        <v>1.8</v>
      </c>
      <c r="R18" t="s">
        <v>0</v>
      </c>
      <c r="S18">
        <v>0</v>
      </c>
      <c r="T18" t="s">
        <v>1</v>
      </c>
      <c r="U18">
        <v>0.56599999999999995</v>
      </c>
      <c r="X18">
        <v>1.7</v>
      </c>
      <c r="Y18" s="1">
        <v>7.9999999999999996E-6</v>
      </c>
      <c r="Z18" s="1">
        <v>0.55567999999999995</v>
      </c>
      <c r="AA18" s="1">
        <f t="shared" si="0"/>
        <v>0.55568799999999996</v>
      </c>
    </row>
    <row r="19" spans="1:27" x14ac:dyDescent="0.2">
      <c r="A19">
        <v>1.9</v>
      </c>
      <c r="B19" t="s">
        <v>0</v>
      </c>
      <c r="C19">
        <v>0</v>
      </c>
      <c r="D19" t="s">
        <v>1</v>
      </c>
      <c r="E19">
        <v>0.60399999999999998</v>
      </c>
      <c r="G19">
        <v>1.9</v>
      </c>
      <c r="H19">
        <v>0</v>
      </c>
      <c r="I19">
        <v>0.60399999999999998</v>
      </c>
      <c r="K19">
        <v>1.9</v>
      </c>
      <c r="L19" t="s">
        <v>0</v>
      </c>
      <c r="M19">
        <v>0</v>
      </c>
      <c r="N19" t="s">
        <v>1</v>
      </c>
      <c r="O19">
        <v>0.58799999999999997</v>
      </c>
      <c r="Q19">
        <v>1.9</v>
      </c>
      <c r="R19" t="s">
        <v>0</v>
      </c>
      <c r="S19">
        <v>0</v>
      </c>
      <c r="T19" t="s">
        <v>1</v>
      </c>
      <c r="U19">
        <v>0.59199999999999997</v>
      </c>
      <c r="X19">
        <v>1.8</v>
      </c>
      <c r="Y19" s="1">
        <v>2.5999999999999998E-5</v>
      </c>
      <c r="Z19" s="1">
        <v>0.57068399999999997</v>
      </c>
      <c r="AA19" s="1">
        <f t="shared" si="0"/>
        <v>0.57070999999999994</v>
      </c>
    </row>
    <row r="20" spans="1:27" x14ac:dyDescent="0.2">
      <c r="A20">
        <v>2</v>
      </c>
      <c r="B20" t="s">
        <v>0</v>
      </c>
      <c r="C20">
        <v>0</v>
      </c>
      <c r="D20" t="s">
        <v>1</v>
      </c>
      <c r="E20">
        <v>0.61</v>
      </c>
      <c r="G20">
        <v>2</v>
      </c>
      <c r="H20">
        <v>0</v>
      </c>
      <c r="I20">
        <v>0.61</v>
      </c>
      <c r="K20">
        <v>2</v>
      </c>
      <c r="L20" t="s">
        <v>0</v>
      </c>
      <c r="M20">
        <v>0</v>
      </c>
      <c r="N20" t="s">
        <v>1</v>
      </c>
      <c r="O20">
        <v>0.59199999999999997</v>
      </c>
      <c r="Q20">
        <v>2</v>
      </c>
      <c r="R20" t="s">
        <v>0</v>
      </c>
      <c r="S20">
        <v>0</v>
      </c>
      <c r="T20" t="s">
        <v>1</v>
      </c>
      <c r="U20">
        <v>0.58599999999999997</v>
      </c>
      <c r="X20">
        <v>1.9</v>
      </c>
      <c r="Y20" s="1">
        <v>2.5000000000000001E-5</v>
      </c>
      <c r="Z20" s="1">
        <v>0.58501499999999995</v>
      </c>
      <c r="AA20" s="1">
        <f t="shared" si="0"/>
        <v>0.58504</v>
      </c>
    </row>
    <row r="21" spans="1:27" x14ac:dyDescent="0.2">
      <c r="A21">
        <v>2.1</v>
      </c>
      <c r="B21" t="s">
        <v>0</v>
      </c>
      <c r="C21">
        <v>1E-3</v>
      </c>
      <c r="D21" t="s">
        <v>1</v>
      </c>
      <c r="E21">
        <v>0.61899999999999999</v>
      </c>
      <c r="G21">
        <v>2.1</v>
      </c>
      <c r="H21">
        <v>1E-3</v>
      </c>
      <c r="I21">
        <v>0.61899999999999999</v>
      </c>
      <c r="K21">
        <v>2.1</v>
      </c>
      <c r="L21" t="s">
        <v>0</v>
      </c>
      <c r="M21">
        <v>0</v>
      </c>
      <c r="N21" t="s">
        <v>1</v>
      </c>
      <c r="O21">
        <v>0.59599999999999997</v>
      </c>
      <c r="Q21">
        <v>2.1</v>
      </c>
      <c r="R21" t="s">
        <v>0</v>
      </c>
      <c r="S21">
        <v>0</v>
      </c>
      <c r="T21" t="s">
        <v>1</v>
      </c>
      <c r="U21">
        <v>0.59199999999999997</v>
      </c>
      <c r="X21">
        <v>2</v>
      </c>
      <c r="Y21" s="1">
        <v>5.5999999999999999E-5</v>
      </c>
      <c r="Z21" s="1">
        <v>0.59890399999999999</v>
      </c>
      <c r="AA21" s="1">
        <f t="shared" si="0"/>
        <v>0.59895999999999994</v>
      </c>
    </row>
    <row r="22" spans="1:27" x14ac:dyDescent="0.2">
      <c r="A22">
        <v>2.2000000000000002</v>
      </c>
      <c r="B22" t="s">
        <v>0</v>
      </c>
      <c r="C22">
        <v>0</v>
      </c>
      <c r="D22" t="s">
        <v>1</v>
      </c>
      <c r="E22">
        <v>0.65900000000000003</v>
      </c>
      <c r="G22">
        <v>2.2000000000000002</v>
      </c>
      <c r="H22">
        <v>0</v>
      </c>
      <c r="I22">
        <v>0.65900000000000003</v>
      </c>
      <c r="K22">
        <v>2.2000000000000002</v>
      </c>
      <c r="L22" t="s">
        <v>0</v>
      </c>
      <c r="M22">
        <v>0</v>
      </c>
      <c r="N22" t="s">
        <v>1</v>
      </c>
      <c r="O22">
        <v>0.61899999999999999</v>
      </c>
      <c r="Q22">
        <v>2.2000000000000002</v>
      </c>
      <c r="R22" t="s">
        <v>0</v>
      </c>
      <c r="S22">
        <v>0</v>
      </c>
      <c r="T22" t="s">
        <v>1</v>
      </c>
      <c r="U22">
        <v>0.63900000000000001</v>
      </c>
      <c r="X22">
        <v>2.1</v>
      </c>
      <c r="Y22" s="1">
        <v>7.7999999999999999E-5</v>
      </c>
      <c r="Z22" s="1">
        <v>0.61213499999999998</v>
      </c>
      <c r="AA22" s="1">
        <f t="shared" si="0"/>
        <v>0.61221300000000001</v>
      </c>
    </row>
    <row r="23" spans="1:27" x14ac:dyDescent="0.2">
      <c r="A23">
        <v>2.2999999999999998</v>
      </c>
      <c r="B23" t="s">
        <v>0</v>
      </c>
      <c r="C23">
        <v>0</v>
      </c>
      <c r="D23" t="s">
        <v>1</v>
      </c>
      <c r="E23">
        <v>0.65100000000000002</v>
      </c>
      <c r="G23">
        <v>2.2999999999999998</v>
      </c>
      <c r="H23">
        <v>0</v>
      </c>
      <c r="I23">
        <v>0.65100000000000002</v>
      </c>
      <c r="K23">
        <v>2.2999999999999998</v>
      </c>
      <c r="L23" t="s">
        <v>0</v>
      </c>
      <c r="M23">
        <v>0</v>
      </c>
      <c r="N23" t="s">
        <v>1</v>
      </c>
      <c r="O23">
        <v>0.61399999999999999</v>
      </c>
      <c r="Q23">
        <v>2.2999999999999998</v>
      </c>
      <c r="R23" t="s">
        <v>0</v>
      </c>
      <c r="S23">
        <v>0</v>
      </c>
      <c r="T23" t="s">
        <v>1</v>
      </c>
      <c r="U23">
        <v>0.623</v>
      </c>
      <c r="X23">
        <v>2.2000000000000002</v>
      </c>
      <c r="Y23" s="1">
        <v>9.1000000000000003E-5</v>
      </c>
      <c r="Z23" s="1">
        <v>0.62338700000000002</v>
      </c>
      <c r="AA23" s="1">
        <f t="shared" si="0"/>
        <v>0.62347799999999998</v>
      </c>
    </row>
    <row r="24" spans="1:27" x14ac:dyDescent="0.2">
      <c r="A24">
        <v>2.4</v>
      </c>
      <c r="B24" t="s">
        <v>0</v>
      </c>
      <c r="C24">
        <v>0</v>
      </c>
      <c r="D24" t="s">
        <v>1</v>
      </c>
      <c r="E24">
        <v>0.625</v>
      </c>
      <c r="G24">
        <v>2.4</v>
      </c>
      <c r="H24">
        <v>0</v>
      </c>
      <c r="I24">
        <v>0.625</v>
      </c>
      <c r="K24">
        <v>2.4</v>
      </c>
      <c r="L24" t="s">
        <v>0</v>
      </c>
      <c r="M24">
        <v>0</v>
      </c>
      <c r="N24" t="s">
        <v>1</v>
      </c>
      <c r="O24">
        <v>0.64500000000000002</v>
      </c>
      <c r="Q24">
        <v>2.4</v>
      </c>
      <c r="R24" t="s">
        <v>0</v>
      </c>
      <c r="S24">
        <v>0</v>
      </c>
      <c r="T24" t="s">
        <v>1</v>
      </c>
      <c r="U24">
        <v>0.65800000000000003</v>
      </c>
      <c r="X24">
        <v>2.2999999999999998</v>
      </c>
      <c r="Y24" s="1">
        <v>1.35E-4</v>
      </c>
      <c r="Z24" s="1">
        <v>0.63509300000000002</v>
      </c>
      <c r="AA24" s="1">
        <f t="shared" si="0"/>
        <v>0.63522800000000001</v>
      </c>
    </row>
    <row r="25" spans="1:27" x14ac:dyDescent="0.2">
      <c r="A25">
        <v>2.5</v>
      </c>
      <c r="B25" t="s">
        <v>0</v>
      </c>
      <c r="C25">
        <v>0</v>
      </c>
      <c r="D25" t="s">
        <v>1</v>
      </c>
      <c r="E25">
        <v>0.65800000000000003</v>
      </c>
      <c r="G25">
        <v>2.5</v>
      </c>
      <c r="H25">
        <v>0</v>
      </c>
      <c r="I25">
        <v>0.65800000000000003</v>
      </c>
      <c r="K25">
        <v>2.5</v>
      </c>
      <c r="L25" t="s">
        <v>0</v>
      </c>
      <c r="M25">
        <v>2E-3</v>
      </c>
      <c r="N25" t="s">
        <v>1</v>
      </c>
      <c r="O25">
        <v>0.66600000000000004</v>
      </c>
      <c r="Q25">
        <v>2.5</v>
      </c>
      <c r="R25" t="s">
        <v>0</v>
      </c>
      <c r="S25">
        <v>0</v>
      </c>
      <c r="T25" t="s">
        <v>1</v>
      </c>
      <c r="U25">
        <v>0.67100000000000004</v>
      </c>
      <c r="X25">
        <v>2.4</v>
      </c>
      <c r="Y25" s="1">
        <v>2.4600000000000002E-4</v>
      </c>
      <c r="Z25" s="1">
        <v>0.64477899999999999</v>
      </c>
      <c r="AA25" s="1">
        <f t="shared" si="0"/>
        <v>0.64502499999999996</v>
      </c>
    </row>
    <row r="26" spans="1:27" x14ac:dyDescent="0.2">
      <c r="A26">
        <v>2.6</v>
      </c>
      <c r="B26" t="s">
        <v>0</v>
      </c>
      <c r="C26">
        <v>0</v>
      </c>
      <c r="D26" t="s">
        <v>1</v>
      </c>
      <c r="E26">
        <v>0.64400000000000002</v>
      </c>
      <c r="G26">
        <v>2.6</v>
      </c>
      <c r="H26">
        <v>0</v>
      </c>
      <c r="I26">
        <v>0.64400000000000002</v>
      </c>
      <c r="K26">
        <v>2.6</v>
      </c>
      <c r="L26" t="s">
        <v>0</v>
      </c>
      <c r="M26">
        <v>0</v>
      </c>
      <c r="N26" t="s">
        <v>1</v>
      </c>
      <c r="O26">
        <v>0.66</v>
      </c>
      <c r="Q26">
        <v>2.6</v>
      </c>
      <c r="R26" t="s">
        <v>0</v>
      </c>
      <c r="S26">
        <v>0</v>
      </c>
      <c r="T26" t="s">
        <v>1</v>
      </c>
      <c r="U26">
        <v>0.68</v>
      </c>
      <c r="X26">
        <v>2.5</v>
      </c>
      <c r="Y26" s="1">
        <v>2.7999999999999998E-4</v>
      </c>
      <c r="Z26" s="1">
        <v>0.655246</v>
      </c>
      <c r="AA26" s="1">
        <f t="shared" si="0"/>
        <v>0.65552599999999994</v>
      </c>
    </row>
    <row r="27" spans="1:27" x14ac:dyDescent="0.2">
      <c r="A27">
        <v>2.7</v>
      </c>
      <c r="B27" t="s">
        <v>0</v>
      </c>
      <c r="C27">
        <v>8.9999999999999993E-3</v>
      </c>
      <c r="D27" t="s">
        <v>1</v>
      </c>
      <c r="E27">
        <v>0.66700000000000004</v>
      </c>
      <c r="G27">
        <v>2.7</v>
      </c>
      <c r="H27">
        <v>8.9999999999999993E-3</v>
      </c>
      <c r="I27">
        <v>0.66700000000000004</v>
      </c>
      <c r="K27">
        <v>2.7</v>
      </c>
      <c r="L27" t="s">
        <v>0</v>
      </c>
      <c r="M27">
        <v>0</v>
      </c>
      <c r="N27" t="s">
        <v>1</v>
      </c>
      <c r="O27">
        <v>0.67800000000000005</v>
      </c>
      <c r="Q27">
        <v>2.7</v>
      </c>
      <c r="R27" t="s">
        <v>0</v>
      </c>
      <c r="S27">
        <v>0</v>
      </c>
      <c r="T27" t="s">
        <v>1</v>
      </c>
      <c r="U27">
        <v>0.66700000000000004</v>
      </c>
      <c r="X27">
        <v>2.6</v>
      </c>
      <c r="Y27" s="1">
        <v>3.4499999999999998E-4</v>
      </c>
      <c r="Z27" s="1">
        <v>0.66497899999999999</v>
      </c>
      <c r="AA27" s="1">
        <f t="shared" si="0"/>
        <v>0.66532400000000003</v>
      </c>
    </row>
    <row r="28" spans="1:27" x14ac:dyDescent="0.2">
      <c r="A28">
        <v>2.8</v>
      </c>
      <c r="B28" t="s">
        <v>0</v>
      </c>
      <c r="C28">
        <v>1E-3</v>
      </c>
      <c r="D28" t="s">
        <v>1</v>
      </c>
      <c r="E28">
        <v>0.68</v>
      </c>
      <c r="G28">
        <v>2.8</v>
      </c>
      <c r="H28">
        <v>1E-3</v>
      </c>
      <c r="I28">
        <v>0.68</v>
      </c>
      <c r="K28">
        <v>2.8</v>
      </c>
      <c r="L28" t="s">
        <v>0</v>
      </c>
      <c r="M28">
        <v>1E-3</v>
      </c>
      <c r="N28" t="s">
        <v>1</v>
      </c>
      <c r="O28">
        <v>0.67700000000000005</v>
      </c>
      <c r="Q28">
        <v>2.8</v>
      </c>
      <c r="R28" t="s">
        <v>0</v>
      </c>
      <c r="S28">
        <v>0</v>
      </c>
      <c r="T28" t="s">
        <v>1</v>
      </c>
      <c r="U28">
        <v>0.69</v>
      </c>
      <c r="X28">
        <v>2.7</v>
      </c>
      <c r="Y28" s="1">
        <v>3.86E-4</v>
      </c>
      <c r="Z28" s="1">
        <v>0.67473899999999998</v>
      </c>
      <c r="AA28" s="1">
        <f t="shared" si="0"/>
        <v>0.67512499999999998</v>
      </c>
    </row>
    <row r="29" spans="1:27" x14ac:dyDescent="0.2">
      <c r="A29">
        <v>2.9</v>
      </c>
      <c r="B29" t="s">
        <v>0</v>
      </c>
      <c r="C29">
        <v>0</v>
      </c>
      <c r="D29" t="s">
        <v>1</v>
      </c>
      <c r="E29">
        <v>0.69399999999999995</v>
      </c>
      <c r="G29">
        <v>2.9</v>
      </c>
      <c r="H29">
        <v>0</v>
      </c>
      <c r="I29">
        <v>0.69399999999999995</v>
      </c>
      <c r="K29">
        <v>2.9</v>
      </c>
      <c r="L29" t="s">
        <v>0</v>
      </c>
      <c r="M29">
        <v>0</v>
      </c>
      <c r="N29" t="s">
        <v>1</v>
      </c>
      <c r="O29">
        <v>0.68200000000000005</v>
      </c>
      <c r="Q29">
        <v>2.9</v>
      </c>
      <c r="R29" t="s">
        <v>0</v>
      </c>
      <c r="S29">
        <v>0</v>
      </c>
      <c r="T29" t="s">
        <v>1</v>
      </c>
      <c r="U29">
        <v>0.70099999999999996</v>
      </c>
      <c r="X29">
        <v>2.8</v>
      </c>
      <c r="Y29" s="1">
        <v>5.1800000000000001E-4</v>
      </c>
      <c r="Z29" s="1">
        <v>0.68431299999999995</v>
      </c>
      <c r="AA29" s="1">
        <f t="shared" si="0"/>
        <v>0.68483099999999997</v>
      </c>
    </row>
    <row r="30" spans="1:27" x14ac:dyDescent="0.2">
      <c r="A30">
        <v>3</v>
      </c>
      <c r="B30" t="s">
        <v>0</v>
      </c>
      <c r="C30">
        <v>5.0000000000000001E-3</v>
      </c>
      <c r="D30" t="s">
        <v>1</v>
      </c>
      <c r="E30">
        <v>0.72899999999999998</v>
      </c>
      <c r="G30">
        <v>3</v>
      </c>
      <c r="H30">
        <v>5.0000000000000001E-3</v>
      </c>
      <c r="I30">
        <v>0.72899999999999998</v>
      </c>
      <c r="K30">
        <v>3</v>
      </c>
      <c r="L30" t="s">
        <v>0</v>
      </c>
      <c r="M30">
        <v>4.0000000000000001E-3</v>
      </c>
      <c r="N30" t="s">
        <v>1</v>
      </c>
      <c r="O30">
        <v>0.72399999999999998</v>
      </c>
      <c r="Q30">
        <v>3</v>
      </c>
      <c r="R30" t="s">
        <v>0</v>
      </c>
      <c r="S30">
        <v>0</v>
      </c>
      <c r="T30" t="s">
        <v>1</v>
      </c>
      <c r="U30">
        <v>0.67</v>
      </c>
      <c r="X30">
        <v>2.9</v>
      </c>
      <c r="Y30" s="1">
        <v>6.8999999999999997E-4</v>
      </c>
      <c r="Z30" s="1">
        <v>0.69180699999999995</v>
      </c>
      <c r="AA30" s="1">
        <f t="shared" si="0"/>
        <v>0.69249699999999992</v>
      </c>
    </row>
    <row r="31" spans="1:27" x14ac:dyDescent="0.2">
      <c r="A31">
        <v>3.1</v>
      </c>
      <c r="B31" t="s">
        <v>0</v>
      </c>
      <c r="C31">
        <v>1E-3</v>
      </c>
      <c r="D31" t="s">
        <v>1</v>
      </c>
      <c r="E31">
        <v>0.67800000000000005</v>
      </c>
      <c r="G31">
        <v>3.1</v>
      </c>
      <c r="H31">
        <v>1E-3</v>
      </c>
      <c r="I31">
        <v>0.67800000000000005</v>
      </c>
      <c r="K31">
        <v>3.1</v>
      </c>
      <c r="L31" t="s">
        <v>0</v>
      </c>
      <c r="M31">
        <v>0</v>
      </c>
      <c r="N31" t="s">
        <v>1</v>
      </c>
      <c r="O31">
        <v>0.72799999999999998</v>
      </c>
      <c r="Q31">
        <v>3.1</v>
      </c>
      <c r="R31" t="s">
        <v>0</v>
      </c>
      <c r="S31">
        <v>2E-3</v>
      </c>
      <c r="T31" t="s">
        <v>1</v>
      </c>
      <c r="U31">
        <v>0.72499999999999998</v>
      </c>
      <c r="X31">
        <v>3</v>
      </c>
      <c r="Y31" s="1">
        <v>9.5600000000000004E-4</v>
      </c>
      <c r="Z31" s="1">
        <v>0.69943100000000002</v>
      </c>
      <c r="AA31" s="1">
        <f t="shared" si="0"/>
        <v>0.70038699999999998</v>
      </c>
    </row>
    <row r="32" spans="1:27" x14ac:dyDescent="0.2">
      <c r="A32">
        <v>3.2</v>
      </c>
      <c r="B32" t="s">
        <v>0</v>
      </c>
      <c r="C32">
        <v>0</v>
      </c>
      <c r="D32" t="s">
        <v>1</v>
      </c>
      <c r="E32">
        <v>0.72299999999999998</v>
      </c>
      <c r="G32">
        <v>3.2</v>
      </c>
      <c r="H32">
        <v>0</v>
      </c>
      <c r="I32">
        <v>0.72299999999999998</v>
      </c>
      <c r="K32">
        <v>3.2</v>
      </c>
      <c r="L32" t="s">
        <v>0</v>
      </c>
      <c r="M32">
        <v>0</v>
      </c>
      <c r="N32" t="s">
        <v>1</v>
      </c>
      <c r="O32">
        <v>0.73399999999999999</v>
      </c>
      <c r="Q32">
        <v>3.2</v>
      </c>
      <c r="R32" t="s">
        <v>0</v>
      </c>
      <c r="S32">
        <v>0</v>
      </c>
      <c r="T32" t="s">
        <v>1</v>
      </c>
      <c r="U32">
        <v>0.71</v>
      </c>
      <c r="X32">
        <v>3.1</v>
      </c>
      <c r="Y32" s="1">
        <v>9.4799999999999995E-4</v>
      </c>
      <c r="Z32" s="1">
        <v>0.70631500000000003</v>
      </c>
      <c r="AA32" s="1">
        <f t="shared" si="0"/>
        <v>0.70726299999999998</v>
      </c>
    </row>
    <row r="33" spans="1:27" x14ac:dyDescent="0.2">
      <c r="A33">
        <v>3.3</v>
      </c>
      <c r="B33" t="s">
        <v>0</v>
      </c>
      <c r="C33">
        <v>0</v>
      </c>
      <c r="D33" t="s">
        <v>1</v>
      </c>
      <c r="E33">
        <v>0.70399999999999996</v>
      </c>
      <c r="G33">
        <v>3.3</v>
      </c>
      <c r="H33">
        <v>0</v>
      </c>
      <c r="I33">
        <v>0.70399999999999996</v>
      </c>
      <c r="K33">
        <v>3.3</v>
      </c>
      <c r="L33" t="s">
        <v>0</v>
      </c>
      <c r="M33">
        <v>0</v>
      </c>
      <c r="N33" t="s">
        <v>1</v>
      </c>
      <c r="O33">
        <v>0.70499999999999996</v>
      </c>
      <c r="Q33">
        <v>3.3</v>
      </c>
      <c r="R33" t="s">
        <v>0</v>
      </c>
      <c r="S33">
        <v>0</v>
      </c>
      <c r="T33" t="s">
        <v>1</v>
      </c>
      <c r="U33">
        <v>0.69799999999999995</v>
      </c>
      <c r="X33">
        <v>3.2</v>
      </c>
      <c r="Y33" s="1">
        <v>1.3630000000000001E-3</v>
      </c>
      <c r="Z33" s="1">
        <v>0.71400300000000005</v>
      </c>
      <c r="AA33" s="1">
        <f t="shared" si="0"/>
        <v>0.71536600000000006</v>
      </c>
    </row>
    <row r="34" spans="1:27" x14ac:dyDescent="0.2">
      <c r="A34">
        <v>3.4</v>
      </c>
      <c r="B34" t="s">
        <v>0</v>
      </c>
      <c r="C34">
        <v>1E-3</v>
      </c>
      <c r="D34" t="s">
        <v>1</v>
      </c>
      <c r="E34">
        <v>0.73699999999999999</v>
      </c>
      <c r="G34">
        <v>3.4</v>
      </c>
      <c r="H34">
        <v>1E-3</v>
      </c>
      <c r="I34">
        <v>0.73699999999999999</v>
      </c>
      <c r="K34">
        <v>3.4</v>
      </c>
      <c r="L34" t="s">
        <v>0</v>
      </c>
      <c r="M34">
        <v>0</v>
      </c>
      <c r="N34" t="s">
        <v>1</v>
      </c>
      <c r="O34">
        <v>0.71199999999999997</v>
      </c>
      <c r="Q34">
        <v>3.4</v>
      </c>
      <c r="R34" t="s">
        <v>0</v>
      </c>
      <c r="S34">
        <v>5.0000000000000001E-3</v>
      </c>
      <c r="T34" t="s">
        <v>1</v>
      </c>
      <c r="U34">
        <v>0.76300000000000001</v>
      </c>
      <c r="X34">
        <v>3.3</v>
      </c>
      <c r="Y34" s="1">
        <v>1.534E-3</v>
      </c>
      <c r="Z34" s="1">
        <v>0.72124600000000005</v>
      </c>
      <c r="AA34" s="1">
        <f t="shared" si="0"/>
        <v>0.72278000000000009</v>
      </c>
    </row>
    <row r="35" spans="1:27" x14ac:dyDescent="0.2">
      <c r="A35">
        <v>3.5</v>
      </c>
      <c r="B35" t="s">
        <v>0</v>
      </c>
      <c r="C35">
        <v>0</v>
      </c>
      <c r="D35" t="s">
        <v>1</v>
      </c>
      <c r="E35">
        <v>0.72099999999999997</v>
      </c>
      <c r="G35">
        <v>3.5</v>
      </c>
      <c r="H35">
        <v>0</v>
      </c>
      <c r="I35">
        <v>0.72099999999999997</v>
      </c>
      <c r="K35">
        <v>3.5</v>
      </c>
      <c r="L35" t="s">
        <v>0</v>
      </c>
      <c r="M35">
        <v>4.0000000000000001E-3</v>
      </c>
      <c r="N35" t="s">
        <v>1</v>
      </c>
      <c r="O35">
        <v>0.72499999999999998</v>
      </c>
      <c r="Q35">
        <v>3.5</v>
      </c>
      <c r="R35" t="s">
        <v>0</v>
      </c>
      <c r="S35">
        <v>0</v>
      </c>
      <c r="T35" t="s">
        <v>1</v>
      </c>
      <c r="U35">
        <v>0.71499999999999997</v>
      </c>
      <c r="X35">
        <v>3.4</v>
      </c>
      <c r="Y35" s="1">
        <v>1.7619999999999999E-3</v>
      </c>
      <c r="Z35" s="1">
        <v>0.72670400000000002</v>
      </c>
      <c r="AA35" s="1">
        <f t="shared" si="0"/>
        <v>0.72846600000000006</v>
      </c>
    </row>
    <row r="36" spans="1:27" x14ac:dyDescent="0.2">
      <c r="A36">
        <v>3.6</v>
      </c>
      <c r="B36" t="s">
        <v>0</v>
      </c>
      <c r="C36">
        <v>6.0000000000000001E-3</v>
      </c>
      <c r="D36" t="s">
        <v>1</v>
      </c>
      <c r="E36">
        <v>0.752</v>
      </c>
      <c r="G36">
        <v>3.6</v>
      </c>
      <c r="H36">
        <v>6.0000000000000001E-3</v>
      </c>
      <c r="I36">
        <v>0.752</v>
      </c>
      <c r="K36">
        <v>3.6</v>
      </c>
      <c r="L36" t="s">
        <v>0</v>
      </c>
      <c r="M36">
        <v>0</v>
      </c>
      <c r="N36" t="s">
        <v>1</v>
      </c>
      <c r="O36">
        <v>0.749</v>
      </c>
      <c r="Q36">
        <v>3.6</v>
      </c>
      <c r="R36" t="s">
        <v>0</v>
      </c>
      <c r="S36">
        <v>8.0000000000000002E-3</v>
      </c>
      <c r="T36" t="s">
        <v>1</v>
      </c>
      <c r="U36">
        <v>0.754</v>
      </c>
      <c r="X36">
        <v>3.5</v>
      </c>
      <c r="Y36" s="1">
        <v>2.0669999999999998E-3</v>
      </c>
      <c r="Z36" s="1">
        <v>0.73266600000000004</v>
      </c>
      <c r="AA36" s="1">
        <f t="shared" si="0"/>
        <v>0.73473300000000008</v>
      </c>
    </row>
    <row r="37" spans="1:27" x14ac:dyDescent="0.2">
      <c r="A37">
        <v>3.7</v>
      </c>
      <c r="B37" t="s">
        <v>0</v>
      </c>
      <c r="C37">
        <v>0</v>
      </c>
      <c r="D37" t="s">
        <v>1</v>
      </c>
      <c r="E37">
        <v>0.76</v>
      </c>
      <c r="G37">
        <v>3.7</v>
      </c>
      <c r="H37">
        <v>0</v>
      </c>
      <c r="I37">
        <v>0.76</v>
      </c>
      <c r="K37">
        <v>3.7</v>
      </c>
      <c r="L37" t="s">
        <v>0</v>
      </c>
      <c r="M37">
        <v>1E-3</v>
      </c>
      <c r="N37" t="s">
        <v>1</v>
      </c>
      <c r="O37">
        <v>0.71699999999999997</v>
      </c>
      <c r="Q37">
        <v>3.7</v>
      </c>
      <c r="R37" t="s">
        <v>0</v>
      </c>
      <c r="S37">
        <v>6.0000000000000001E-3</v>
      </c>
      <c r="T37" t="s">
        <v>1</v>
      </c>
      <c r="U37">
        <v>0.752</v>
      </c>
      <c r="X37">
        <v>3.6</v>
      </c>
      <c r="Y37" s="1">
        <v>2.6180000000000001E-3</v>
      </c>
      <c r="Z37" s="1">
        <v>0.738348</v>
      </c>
      <c r="AA37" s="1">
        <f t="shared" si="0"/>
        <v>0.74096600000000001</v>
      </c>
    </row>
    <row r="38" spans="1:27" x14ac:dyDescent="0.2">
      <c r="A38">
        <v>3.8</v>
      </c>
      <c r="B38" t="s">
        <v>0</v>
      </c>
      <c r="C38">
        <v>5.0000000000000001E-3</v>
      </c>
      <c r="D38" t="s">
        <v>1</v>
      </c>
      <c r="E38">
        <v>0.74199999999999999</v>
      </c>
      <c r="G38">
        <v>3.8</v>
      </c>
      <c r="H38">
        <v>5.0000000000000001E-3</v>
      </c>
      <c r="I38">
        <v>0.74199999999999999</v>
      </c>
      <c r="K38">
        <v>3.8</v>
      </c>
      <c r="L38" t="s">
        <v>0</v>
      </c>
      <c r="M38">
        <v>2E-3</v>
      </c>
      <c r="N38" t="s">
        <v>1</v>
      </c>
      <c r="O38">
        <v>0.76300000000000001</v>
      </c>
      <c r="Q38">
        <v>3.8</v>
      </c>
      <c r="R38" t="s">
        <v>0</v>
      </c>
      <c r="S38">
        <v>2E-3</v>
      </c>
      <c r="T38" t="s">
        <v>1</v>
      </c>
      <c r="U38">
        <v>0.76600000000000001</v>
      </c>
      <c r="X38">
        <v>3.7</v>
      </c>
      <c r="Y38" s="1">
        <v>3.1210000000000001E-3</v>
      </c>
      <c r="Z38" s="1">
        <v>0.74386799999999997</v>
      </c>
      <c r="AA38" s="1">
        <f t="shared" si="0"/>
        <v>0.74698900000000001</v>
      </c>
    </row>
    <row r="39" spans="1:27" x14ac:dyDescent="0.2">
      <c r="A39">
        <v>3.9</v>
      </c>
      <c r="B39" t="s">
        <v>0</v>
      </c>
      <c r="C39">
        <v>5.0000000000000001E-3</v>
      </c>
      <c r="D39" t="s">
        <v>1</v>
      </c>
      <c r="E39">
        <v>0.753</v>
      </c>
      <c r="G39">
        <v>3.9</v>
      </c>
      <c r="H39">
        <v>5.0000000000000001E-3</v>
      </c>
      <c r="I39">
        <v>0.753</v>
      </c>
      <c r="K39">
        <v>3.9</v>
      </c>
      <c r="L39" t="s">
        <v>0</v>
      </c>
      <c r="M39">
        <v>3.0000000000000001E-3</v>
      </c>
      <c r="N39" t="s">
        <v>1</v>
      </c>
      <c r="O39">
        <v>0.753</v>
      </c>
      <c r="Q39">
        <v>3.9</v>
      </c>
      <c r="R39" t="s">
        <v>0</v>
      </c>
      <c r="S39">
        <v>1E-3</v>
      </c>
      <c r="T39" t="s">
        <v>1</v>
      </c>
      <c r="U39">
        <v>0.73699999999999999</v>
      </c>
      <c r="X39">
        <v>3.8</v>
      </c>
      <c r="Y39" s="1">
        <v>3.467E-3</v>
      </c>
      <c r="Z39" s="1">
        <v>0.74986799999999998</v>
      </c>
      <c r="AA39" s="1">
        <f t="shared" si="0"/>
        <v>0.75333499999999998</v>
      </c>
    </row>
    <row r="40" spans="1:27" x14ac:dyDescent="0.2">
      <c r="A40">
        <v>4</v>
      </c>
      <c r="B40" t="s">
        <v>0</v>
      </c>
      <c r="C40">
        <v>6.0000000000000001E-3</v>
      </c>
      <c r="D40" t="s">
        <v>1</v>
      </c>
      <c r="E40">
        <v>0.76</v>
      </c>
      <c r="G40">
        <v>4</v>
      </c>
      <c r="H40">
        <v>6.0000000000000001E-3</v>
      </c>
      <c r="I40">
        <v>0.76</v>
      </c>
      <c r="K40">
        <v>4</v>
      </c>
      <c r="L40" t="s">
        <v>0</v>
      </c>
      <c r="M40">
        <v>2E-3</v>
      </c>
      <c r="N40" t="s">
        <v>1</v>
      </c>
      <c r="O40">
        <v>0.75700000000000001</v>
      </c>
      <c r="Q40">
        <v>4</v>
      </c>
      <c r="R40" t="s">
        <v>0</v>
      </c>
      <c r="S40">
        <v>0</v>
      </c>
      <c r="T40" t="s">
        <v>1</v>
      </c>
      <c r="U40">
        <v>0.78600000000000003</v>
      </c>
      <c r="X40">
        <v>3.9</v>
      </c>
      <c r="Y40" s="1">
        <v>4.0790000000000002E-3</v>
      </c>
      <c r="Z40" s="1">
        <v>0.75457099999999999</v>
      </c>
      <c r="AA40" s="1">
        <f t="shared" si="0"/>
        <v>0.75865000000000005</v>
      </c>
    </row>
    <row r="41" spans="1:27" x14ac:dyDescent="0.2">
      <c r="A41">
        <v>4.0999999999999996</v>
      </c>
      <c r="B41" t="s">
        <v>0</v>
      </c>
      <c r="C41">
        <v>8.0000000000000002E-3</v>
      </c>
      <c r="D41" t="s">
        <v>1</v>
      </c>
      <c r="E41">
        <v>0.749</v>
      </c>
      <c r="G41">
        <v>4.0999999999999996</v>
      </c>
      <c r="H41">
        <v>8.0000000000000002E-3</v>
      </c>
      <c r="I41">
        <v>0.749</v>
      </c>
      <c r="K41">
        <v>4.0999999999999996</v>
      </c>
      <c r="L41" t="s">
        <v>0</v>
      </c>
      <c r="M41">
        <v>3.0000000000000001E-3</v>
      </c>
      <c r="N41" t="s">
        <v>1</v>
      </c>
      <c r="O41">
        <v>0.746</v>
      </c>
      <c r="Q41">
        <v>4.0999999999999996</v>
      </c>
      <c r="R41" t="s">
        <v>0</v>
      </c>
      <c r="S41">
        <v>1.2E-2</v>
      </c>
      <c r="T41" t="s">
        <v>1</v>
      </c>
      <c r="U41">
        <v>0.76</v>
      </c>
      <c r="X41">
        <v>4</v>
      </c>
      <c r="Y41" s="1">
        <v>4.4689999999999999E-3</v>
      </c>
      <c r="Z41" s="1">
        <v>0.75854200000000005</v>
      </c>
      <c r="AA41" s="1">
        <f t="shared" si="0"/>
        <v>0.76301099999999999</v>
      </c>
    </row>
    <row r="42" spans="1:27" x14ac:dyDescent="0.2">
      <c r="A42">
        <v>4.2</v>
      </c>
      <c r="B42" t="s">
        <v>0</v>
      </c>
      <c r="C42">
        <v>4.0000000000000001E-3</v>
      </c>
      <c r="D42" t="s">
        <v>1</v>
      </c>
      <c r="E42">
        <v>0.76800000000000002</v>
      </c>
      <c r="G42">
        <v>4.2</v>
      </c>
      <c r="H42">
        <v>4.0000000000000001E-3</v>
      </c>
      <c r="I42">
        <v>0.76800000000000002</v>
      </c>
      <c r="K42">
        <v>4.2</v>
      </c>
      <c r="L42" t="s">
        <v>0</v>
      </c>
      <c r="M42">
        <v>1E-3</v>
      </c>
      <c r="N42" t="s">
        <v>1</v>
      </c>
      <c r="O42">
        <v>0.78200000000000003</v>
      </c>
      <c r="Q42">
        <v>4.2</v>
      </c>
      <c r="R42" t="s">
        <v>0</v>
      </c>
      <c r="S42">
        <v>0</v>
      </c>
      <c r="T42" t="s">
        <v>1</v>
      </c>
      <c r="U42">
        <v>0.755</v>
      </c>
      <c r="X42">
        <v>4.0999999999999996</v>
      </c>
      <c r="Y42" s="1">
        <v>5.4279999999999997E-3</v>
      </c>
      <c r="Z42" s="1">
        <v>0.76303399999999999</v>
      </c>
      <c r="AA42" s="1">
        <f t="shared" si="0"/>
        <v>0.76846199999999998</v>
      </c>
    </row>
    <row r="43" spans="1:27" x14ac:dyDescent="0.2">
      <c r="A43">
        <v>4.3</v>
      </c>
      <c r="B43" t="s">
        <v>0</v>
      </c>
      <c r="C43">
        <v>1E-3</v>
      </c>
      <c r="D43" t="s">
        <v>1</v>
      </c>
      <c r="E43">
        <v>0.78600000000000003</v>
      </c>
      <c r="G43">
        <v>4.3</v>
      </c>
      <c r="H43">
        <v>1E-3</v>
      </c>
      <c r="I43">
        <v>0.78600000000000003</v>
      </c>
      <c r="K43">
        <v>4.3</v>
      </c>
      <c r="L43" t="s">
        <v>0</v>
      </c>
      <c r="M43">
        <v>5.0000000000000001E-3</v>
      </c>
      <c r="N43" t="s">
        <v>1</v>
      </c>
      <c r="O43">
        <v>0.78200000000000003</v>
      </c>
      <c r="Q43">
        <v>4.3</v>
      </c>
      <c r="R43" t="s">
        <v>0</v>
      </c>
      <c r="S43">
        <v>1.4E-2</v>
      </c>
      <c r="T43" t="s">
        <v>1</v>
      </c>
      <c r="U43">
        <v>0.77700000000000002</v>
      </c>
      <c r="X43">
        <v>4.2</v>
      </c>
      <c r="Y43" s="1">
        <v>6.1960000000000001E-3</v>
      </c>
      <c r="Z43" s="1">
        <v>0.76785800000000004</v>
      </c>
      <c r="AA43" s="1">
        <f t="shared" si="0"/>
        <v>0.77405400000000002</v>
      </c>
    </row>
    <row r="44" spans="1:27" x14ac:dyDescent="0.2">
      <c r="A44">
        <v>4.4000000000000004</v>
      </c>
      <c r="B44" t="s">
        <v>0</v>
      </c>
      <c r="C44">
        <v>2.4E-2</v>
      </c>
      <c r="D44" t="s">
        <v>1</v>
      </c>
      <c r="E44">
        <v>0.76600000000000001</v>
      </c>
      <c r="G44">
        <v>4.4000000000000004</v>
      </c>
      <c r="H44">
        <v>2.4E-2</v>
      </c>
      <c r="I44">
        <v>0.76600000000000001</v>
      </c>
      <c r="K44">
        <v>4.4000000000000004</v>
      </c>
      <c r="L44" t="s">
        <v>0</v>
      </c>
      <c r="M44">
        <v>1.4999999999999999E-2</v>
      </c>
      <c r="N44" t="s">
        <v>1</v>
      </c>
      <c r="O44">
        <v>0.76600000000000001</v>
      </c>
      <c r="Q44">
        <v>4.4000000000000004</v>
      </c>
      <c r="R44" t="s">
        <v>0</v>
      </c>
      <c r="S44">
        <v>2E-3</v>
      </c>
      <c r="T44" t="s">
        <v>1</v>
      </c>
      <c r="U44">
        <v>0.76700000000000002</v>
      </c>
      <c r="X44">
        <v>4.3</v>
      </c>
      <c r="Y44" s="1">
        <v>6.7330000000000003E-3</v>
      </c>
      <c r="Z44" s="1">
        <v>0.770764</v>
      </c>
      <c r="AA44" s="1">
        <f t="shared" si="0"/>
        <v>0.77749699999999999</v>
      </c>
    </row>
    <row r="45" spans="1:27" x14ac:dyDescent="0.2">
      <c r="A45">
        <v>4.5</v>
      </c>
      <c r="B45" t="s">
        <v>0</v>
      </c>
      <c r="C45">
        <v>8.0000000000000002E-3</v>
      </c>
      <c r="D45" t="s">
        <v>1</v>
      </c>
      <c r="E45">
        <v>0.79300000000000004</v>
      </c>
      <c r="G45">
        <v>4.5</v>
      </c>
      <c r="H45">
        <v>8.0000000000000002E-3</v>
      </c>
      <c r="I45">
        <v>0.79300000000000004</v>
      </c>
      <c r="K45">
        <v>4.5</v>
      </c>
      <c r="L45" t="s">
        <v>0</v>
      </c>
      <c r="M45">
        <v>7.0000000000000001E-3</v>
      </c>
      <c r="N45" t="s">
        <v>1</v>
      </c>
      <c r="O45">
        <v>0.76700000000000002</v>
      </c>
      <c r="Q45">
        <v>4.5</v>
      </c>
      <c r="R45" t="s">
        <v>0</v>
      </c>
      <c r="S45">
        <v>4.0000000000000001E-3</v>
      </c>
      <c r="T45" t="s">
        <v>1</v>
      </c>
      <c r="U45">
        <v>0.77400000000000002</v>
      </c>
      <c r="X45">
        <v>4.4000000000000004</v>
      </c>
      <c r="Y45" s="1">
        <v>7.5389999999999997E-3</v>
      </c>
      <c r="Z45" s="1">
        <v>0.77441700000000002</v>
      </c>
      <c r="AA45" s="1">
        <f t="shared" si="0"/>
        <v>0.78195599999999998</v>
      </c>
    </row>
    <row r="46" spans="1:27" x14ac:dyDescent="0.2">
      <c r="A46">
        <v>4.5999999999999996</v>
      </c>
      <c r="B46" t="s">
        <v>0</v>
      </c>
      <c r="C46">
        <v>1.7000000000000001E-2</v>
      </c>
      <c r="D46" t="s">
        <v>1</v>
      </c>
      <c r="E46">
        <v>0.78300000000000003</v>
      </c>
      <c r="G46">
        <v>4.5999999999999996</v>
      </c>
      <c r="H46">
        <v>1.7000000000000001E-2</v>
      </c>
      <c r="I46">
        <v>0.78300000000000003</v>
      </c>
      <c r="K46">
        <v>4.5999999999999996</v>
      </c>
      <c r="L46" t="s">
        <v>0</v>
      </c>
      <c r="M46">
        <v>2.7E-2</v>
      </c>
      <c r="N46" t="s">
        <v>1</v>
      </c>
      <c r="O46">
        <v>0.752</v>
      </c>
      <c r="Q46">
        <v>4.5999999999999996</v>
      </c>
      <c r="R46" t="s">
        <v>0</v>
      </c>
      <c r="S46">
        <v>8.9999999999999993E-3</v>
      </c>
      <c r="T46" t="s">
        <v>1</v>
      </c>
      <c r="U46">
        <v>0.77600000000000002</v>
      </c>
      <c r="X46">
        <v>4.5</v>
      </c>
      <c r="Y46" s="1">
        <v>8.3029999999999996E-3</v>
      </c>
      <c r="Z46" s="1">
        <v>0.77796900000000002</v>
      </c>
      <c r="AA46" s="1">
        <f t="shared" si="0"/>
        <v>0.78627199999999997</v>
      </c>
    </row>
    <row r="47" spans="1:27" x14ac:dyDescent="0.2">
      <c r="A47">
        <v>4.7</v>
      </c>
      <c r="B47" t="s">
        <v>0</v>
      </c>
      <c r="C47">
        <v>8.9999999999999993E-3</v>
      </c>
      <c r="D47" t="s">
        <v>1</v>
      </c>
      <c r="E47">
        <v>0.78700000000000003</v>
      </c>
      <c r="G47">
        <v>4.7</v>
      </c>
      <c r="H47">
        <v>8.9999999999999993E-3</v>
      </c>
      <c r="I47">
        <v>0.78700000000000003</v>
      </c>
      <c r="K47">
        <v>4.7</v>
      </c>
      <c r="L47" t="s">
        <v>0</v>
      </c>
      <c r="M47">
        <v>0.01</v>
      </c>
      <c r="N47" t="s">
        <v>1</v>
      </c>
      <c r="O47">
        <v>0.77</v>
      </c>
      <c r="Q47">
        <v>4.7</v>
      </c>
      <c r="R47" t="s">
        <v>0</v>
      </c>
      <c r="S47">
        <v>1.6E-2</v>
      </c>
      <c r="T47" t="s">
        <v>1</v>
      </c>
      <c r="U47">
        <v>0.76800000000000002</v>
      </c>
      <c r="X47">
        <v>4.5999999999999996</v>
      </c>
      <c r="Y47" s="1">
        <v>9.8829999999999994E-3</v>
      </c>
      <c r="Z47" s="1">
        <v>0.78031200000000001</v>
      </c>
      <c r="AA47" s="1">
        <f t="shared" si="0"/>
        <v>0.79019499999999998</v>
      </c>
    </row>
    <row r="48" spans="1:27" x14ac:dyDescent="0.2">
      <c r="A48">
        <v>4.8</v>
      </c>
      <c r="B48" t="s">
        <v>0</v>
      </c>
      <c r="C48">
        <v>1.2E-2</v>
      </c>
      <c r="D48" t="s">
        <v>1</v>
      </c>
      <c r="E48">
        <v>0.78700000000000003</v>
      </c>
      <c r="G48">
        <v>4.8</v>
      </c>
      <c r="H48">
        <v>1.2E-2</v>
      </c>
      <c r="I48">
        <v>0.78700000000000003</v>
      </c>
      <c r="K48">
        <v>4.8</v>
      </c>
      <c r="L48" t="s">
        <v>0</v>
      </c>
      <c r="M48">
        <v>1.6E-2</v>
      </c>
      <c r="N48" t="s">
        <v>1</v>
      </c>
      <c r="O48">
        <v>0.77900000000000003</v>
      </c>
      <c r="Q48">
        <v>4.8</v>
      </c>
      <c r="R48" t="s">
        <v>0</v>
      </c>
      <c r="S48">
        <v>2.1999999999999999E-2</v>
      </c>
      <c r="T48" t="s">
        <v>1</v>
      </c>
      <c r="U48">
        <v>0.77300000000000002</v>
      </c>
      <c r="X48">
        <v>4.7</v>
      </c>
      <c r="Y48" s="1">
        <v>1.0512000000000001E-2</v>
      </c>
      <c r="Z48" s="1">
        <v>0.78419499999999998</v>
      </c>
      <c r="AA48" s="1">
        <f t="shared" si="0"/>
        <v>0.79470699999999994</v>
      </c>
    </row>
    <row r="49" spans="1:27" x14ac:dyDescent="0.2">
      <c r="A49">
        <v>4.9000000000000004</v>
      </c>
      <c r="B49" t="s">
        <v>0</v>
      </c>
      <c r="C49">
        <v>8.9999999999999993E-3</v>
      </c>
      <c r="D49" t="s">
        <v>1</v>
      </c>
      <c r="E49">
        <v>0.79800000000000004</v>
      </c>
      <c r="G49">
        <v>4.9000000000000004</v>
      </c>
      <c r="H49">
        <v>8.9999999999999993E-3</v>
      </c>
      <c r="I49">
        <v>0.79800000000000004</v>
      </c>
      <c r="K49">
        <v>4.9000000000000004</v>
      </c>
      <c r="L49" t="s">
        <v>0</v>
      </c>
      <c r="M49">
        <v>2.5000000000000001E-2</v>
      </c>
      <c r="N49" t="s">
        <v>1</v>
      </c>
      <c r="O49">
        <v>0.80200000000000005</v>
      </c>
      <c r="Q49">
        <v>4.9000000000000004</v>
      </c>
      <c r="R49" t="s">
        <v>0</v>
      </c>
      <c r="S49">
        <v>2.7E-2</v>
      </c>
      <c r="T49" t="s">
        <v>1</v>
      </c>
      <c r="U49">
        <v>0.77900000000000003</v>
      </c>
      <c r="X49">
        <v>4.8</v>
      </c>
      <c r="Y49" s="1">
        <v>1.1837E-2</v>
      </c>
      <c r="Z49" s="1">
        <v>0.78647299999999998</v>
      </c>
      <c r="AA49" s="1">
        <f t="shared" si="0"/>
        <v>0.79830999999999996</v>
      </c>
    </row>
    <row r="50" spans="1:27" x14ac:dyDescent="0.2">
      <c r="A50">
        <v>5</v>
      </c>
      <c r="B50" t="s">
        <v>0</v>
      </c>
      <c r="C50">
        <v>2.4E-2</v>
      </c>
      <c r="D50" t="s">
        <v>1</v>
      </c>
      <c r="E50">
        <v>0.76</v>
      </c>
      <c r="G50">
        <v>5</v>
      </c>
      <c r="H50">
        <v>2.4E-2</v>
      </c>
      <c r="I50">
        <v>0.76</v>
      </c>
      <c r="K50">
        <v>5</v>
      </c>
      <c r="L50" t="s">
        <v>0</v>
      </c>
      <c r="M50">
        <v>5.0000000000000001E-3</v>
      </c>
      <c r="N50" t="s">
        <v>1</v>
      </c>
      <c r="O50">
        <v>0.77300000000000002</v>
      </c>
      <c r="Q50">
        <v>5</v>
      </c>
      <c r="R50" t="s">
        <v>0</v>
      </c>
      <c r="S50">
        <v>2.1000000000000001E-2</v>
      </c>
      <c r="T50" t="s">
        <v>1</v>
      </c>
      <c r="U50">
        <v>0.77500000000000002</v>
      </c>
      <c r="X50">
        <v>4.9000000000000004</v>
      </c>
      <c r="Y50" s="1">
        <v>1.3211000000000001E-2</v>
      </c>
      <c r="Z50" s="1">
        <v>0.78882799999999997</v>
      </c>
      <c r="AA50" s="1">
        <f t="shared" si="0"/>
        <v>0.80203899999999995</v>
      </c>
    </row>
    <row r="51" spans="1:27" x14ac:dyDescent="0.2">
      <c r="A51">
        <v>5.0999999999999996</v>
      </c>
      <c r="B51" t="s">
        <v>0</v>
      </c>
      <c r="C51">
        <v>2.7E-2</v>
      </c>
      <c r="D51" t="s">
        <v>1</v>
      </c>
      <c r="E51">
        <v>0.78</v>
      </c>
      <c r="G51">
        <v>5.0999999999999996</v>
      </c>
      <c r="H51">
        <v>2.7E-2</v>
      </c>
      <c r="I51">
        <v>0.78</v>
      </c>
      <c r="K51">
        <v>5.0999999999999996</v>
      </c>
      <c r="L51" t="s">
        <v>0</v>
      </c>
      <c r="M51">
        <v>0.03</v>
      </c>
      <c r="N51" t="s">
        <v>1</v>
      </c>
      <c r="O51">
        <v>0.78700000000000003</v>
      </c>
      <c r="Q51">
        <v>5.0999999999999996</v>
      </c>
      <c r="R51" t="s">
        <v>0</v>
      </c>
      <c r="S51">
        <v>0.04</v>
      </c>
      <c r="T51" t="s">
        <v>1</v>
      </c>
      <c r="U51">
        <v>0.77400000000000002</v>
      </c>
      <c r="X51">
        <v>5</v>
      </c>
      <c r="Y51" s="1">
        <v>1.4540000000000001E-2</v>
      </c>
      <c r="Z51" s="1">
        <v>0.79112300000000002</v>
      </c>
      <c r="AA51" s="1">
        <f t="shared" si="0"/>
        <v>0.80566300000000002</v>
      </c>
    </row>
    <row r="52" spans="1:27" x14ac:dyDescent="0.2">
      <c r="A52">
        <v>5.2</v>
      </c>
      <c r="B52" t="s">
        <v>0</v>
      </c>
      <c r="C52">
        <v>6.0000000000000001E-3</v>
      </c>
      <c r="D52" t="s">
        <v>1</v>
      </c>
      <c r="E52">
        <v>0.78800000000000003</v>
      </c>
      <c r="G52">
        <v>5.2</v>
      </c>
      <c r="H52">
        <v>6.0000000000000001E-3</v>
      </c>
      <c r="I52">
        <v>0.78800000000000003</v>
      </c>
      <c r="K52">
        <v>5.2</v>
      </c>
      <c r="L52" t="s">
        <v>0</v>
      </c>
      <c r="M52">
        <v>4.0000000000000001E-3</v>
      </c>
      <c r="N52" t="s">
        <v>1</v>
      </c>
      <c r="O52">
        <v>0.80700000000000005</v>
      </c>
      <c r="Q52">
        <v>5.2</v>
      </c>
      <c r="R52" t="s">
        <v>0</v>
      </c>
      <c r="S52">
        <v>6.0000000000000001E-3</v>
      </c>
      <c r="T52" t="s">
        <v>1</v>
      </c>
      <c r="U52">
        <v>0.81399999999999995</v>
      </c>
      <c r="X52">
        <v>5.0999999999999996</v>
      </c>
      <c r="Y52" s="1">
        <v>1.6198000000000001E-2</v>
      </c>
      <c r="Z52" s="1">
        <v>0.79295199999999999</v>
      </c>
      <c r="AA52" s="1">
        <f t="shared" si="0"/>
        <v>0.80915000000000004</v>
      </c>
    </row>
    <row r="53" spans="1:27" x14ac:dyDescent="0.2">
      <c r="A53">
        <v>5.3</v>
      </c>
      <c r="B53" t="s">
        <v>0</v>
      </c>
      <c r="C53">
        <v>8.9999999999999993E-3</v>
      </c>
      <c r="D53" t="s">
        <v>1</v>
      </c>
      <c r="E53">
        <v>0.80600000000000005</v>
      </c>
      <c r="G53">
        <v>5.3</v>
      </c>
      <c r="H53">
        <v>8.9999999999999993E-3</v>
      </c>
      <c r="I53">
        <v>0.80600000000000005</v>
      </c>
      <c r="K53">
        <v>5.3</v>
      </c>
      <c r="L53" t="s">
        <v>0</v>
      </c>
      <c r="M53">
        <v>3.5000000000000003E-2</v>
      </c>
      <c r="N53" t="s">
        <v>1</v>
      </c>
      <c r="O53">
        <v>0.79300000000000004</v>
      </c>
      <c r="Q53">
        <v>5.3</v>
      </c>
      <c r="R53" t="s">
        <v>0</v>
      </c>
      <c r="S53">
        <v>1.4999999999999999E-2</v>
      </c>
      <c r="T53" t="s">
        <v>1</v>
      </c>
      <c r="U53">
        <v>0.79800000000000004</v>
      </c>
      <c r="X53">
        <v>5.2</v>
      </c>
      <c r="Y53" s="1">
        <v>1.7543E-2</v>
      </c>
      <c r="Z53" s="1">
        <v>0.79408900000000004</v>
      </c>
      <c r="AA53" s="1">
        <f t="shared" si="0"/>
        <v>0.81163200000000002</v>
      </c>
    </row>
    <row r="54" spans="1:27" x14ac:dyDescent="0.2">
      <c r="A54">
        <v>5.4</v>
      </c>
      <c r="B54" t="s">
        <v>0</v>
      </c>
      <c r="C54">
        <v>3.2000000000000001E-2</v>
      </c>
      <c r="D54" t="s">
        <v>1</v>
      </c>
      <c r="E54">
        <v>0.76400000000000001</v>
      </c>
      <c r="G54">
        <v>5.4</v>
      </c>
      <c r="H54">
        <v>3.2000000000000001E-2</v>
      </c>
      <c r="I54">
        <v>0.76400000000000001</v>
      </c>
      <c r="K54">
        <v>5.4</v>
      </c>
      <c r="L54" t="s">
        <v>0</v>
      </c>
      <c r="M54">
        <v>2.7E-2</v>
      </c>
      <c r="N54" t="s">
        <v>1</v>
      </c>
      <c r="O54">
        <v>0.78400000000000003</v>
      </c>
      <c r="Q54">
        <v>5.4</v>
      </c>
      <c r="R54" t="s">
        <v>0</v>
      </c>
      <c r="S54">
        <v>2.3E-2</v>
      </c>
      <c r="T54" t="s">
        <v>1</v>
      </c>
      <c r="U54">
        <v>0.80500000000000005</v>
      </c>
      <c r="X54">
        <v>5.3</v>
      </c>
      <c r="Y54" s="1">
        <v>1.8672999999999999E-2</v>
      </c>
      <c r="Z54" s="1">
        <v>0.79684699999999997</v>
      </c>
      <c r="AA54" s="1">
        <f t="shared" si="0"/>
        <v>0.81552000000000002</v>
      </c>
    </row>
    <row r="55" spans="1:27" x14ac:dyDescent="0.2">
      <c r="A55">
        <v>5.5</v>
      </c>
      <c r="B55" t="s">
        <v>0</v>
      </c>
      <c r="C55">
        <v>1.7000000000000001E-2</v>
      </c>
      <c r="D55" t="s">
        <v>1</v>
      </c>
      <c r="E55">
        <v>0.78500000000000003</v>
      </c>
      <c r="G55">
        <v>5.5</v>
      </c>
      <c r="H55">
        <v>1.7000000000000001E-2</v>
      </c>
      <c r="I55">
        <v>0.78500000000000003</v>
      </c>
      <c r="K55">
        <v>5.5</v>
      </c>
      <c r="L55" t="s">
        <v>0</v>
      </c>
      <c r="M55">
        <v>1.6E-2</v>
      </c>
      <c r="N55" t="s">
        <v>1</v>
      </c>
      <c r="O55">
        <v>0.80700000000000005</v>
      </c>
      <c r="Q55">
        <v>5.5</v>
      </c>
      <c r="R55" t="s">
        <v>0</v>
      </c>
      <c r="S55">
        <v>2.5000000000000001E-2</v>
      </c>
      <c r="T55" t="s">
        <v>1</v>
      </c>
      <c r="U55">
        <v>0.78900000000000003</v>
      </c>
      <c r="X55">
        <v>5.4</v>
      </c>
      <c r="Y55" s="1">
        <v>2.0147999999999999E-2</v>
      </c>
      <c r="Z55" s="1">
        <v>0.798454</v>
      </c>
      <c r="AA55" s="1">
        <f t="shared" si="0"/>
        <v>0.81860200000000005</v>
      </c>
    </row>
    <row r="56" spans="1:27" x14ac:dyDescent="0.2">
      <c r="A56">
        <v>5.6</v>
      </c>
      <c r="B56" t="s">
        <v>0</v>
      </c>
      <c r="C56">
        <v>1.7999999999999999E-2</v>
      </c>
      <c r="D56" t="s">
        <v>1</v>
      </c>
      <c r="E56">
        <v>0.80400000000000005</v>
      </c>
      <c r="G56">
        <v>5.6</v>
      </c>
      <c r="H56">
        <v>1.7999999999999999E-2</v>
      </c>
      <c r="I56">
        <v>0.80400000000000005</v>
      </c>
      <c r="K56">
        <v>5.6</v>
      </c>
      <c r="L56" t="s">
        <v>0</v>
      </c>
      <c r="M56">
        <v>8.9999999999999993E-3</v>
      </c>
      <c r="N56" t="s">
        <v>1</v>
      </c>
      <c r="O56">
        <v>0.79700000000000004</v>
      </c>
      <c r="Q56">
        <v>5.6</v>
      </c>
      <c r="R56" t="s">
        <v>0</v>
      </c>
      <c r="S56">
        <v>1.4E-2</v>
      </c>
      <c r="T56" t="s">
        <v>1</v>
      </c>
      <c r="U56">
        <v>0.81799999999999995</v>
      </c>
      <c r="X56">
        <v>5.5</v>
      </c>
      <c r="Y56" s="1">
        <v>2.2055000000000002E-2</v>
      </c>
      <c r="Z56" s="1">
        <v>0.80035199999999995</v>
      </c>
      <c r="AA56" s="1">
        <f t="shared" si="0"/>
        <v>0.822407</v>
      </c>
    </row>
    <row r="57" spans="1:27" x14ac:dyDescent="0.2">
      <c r="A57">
        <v>5.7</v>
      </c>
      <c r="B57" t="s">
        <v>0</v>
      </c>
      <c r="C57">
        <v>0.05</v>
      </c>
      <c r="D57" t="s">
        <v>1</v>
      </c>
      <c r="E57">
        <v>0.79700000000000004</v>
      </c>
      <c r="G57">
        <v>5.7</v>
      </c>
      <c r="H57">
        <v>0.05</v>
      </c>
      <c r="I57">
        <v>0.79700000000000004</v>
      </c>
      <c r="K57">
        <v>5.7</v>
      </c>
      <c r="L57" t="s">
        <v>0</v>
      </c>
      <c r="M57">
        <v>1.9E-2</v>
      </c>
      <c r="N57" t="s">
        <v>1</v>
      </c>
      <c r="O57">
        <v>0.80600000000000005</v>
      </c>
      <c r="Q57">
        <v>5.7</v>
      </c>
      <c r="R57" t="s">
        <v>0</v>
      </c>
      <c r="S57">
        <v>3.4000000000000002E-2</v>
      </c>
      <c r="T57" t="s">
        <v>1</v>
      </c>
      <c r="U57">
        <v>0.78200000000000003</v>
      </c>
      <c r="X57">
        <v>5.6</v>
      </c>
      <c r="Y57" s="1">
        <v>2.418E-2</v>
      </c>
      <c r="Z57" s="1">
        <v>0.80080300000000004</v>
      </c>
      <c r="AA57" s="1">
        <f t="shared" si="0"/>
        <v>0.82498300000000002</v>
      </c>
    </row>
    <row r="58" spans="1:27" x14ac:dyDescent="0.2">
      <c r="A58">
        <v>5.8</v>
      </c>
      <c r="B58" t="s">
        <v>0</v>
      </c>
      <c r="C58">
        <v>2.4E-2</v>
      </c>
      <c r="D58" t="s">
        <v>1</v>
      </c>
      <c r="E58">
        <v>0.80500000000000005</v>
      </c>
      <c r="G58">
        <v>5.8</v>
      </c>
      <c r="H58">
        <v>2.4E-2</v>
      </c>
      <c r="I58">
        <v>0.80500000000000005</v>
      </c>
      <c r="K58">
        <v>5.8</v>
      </c>
      <c r="L58" t="s">
        <v>0</v>
      </c>
      <c r="M58">
        <v>0.04</v>
      </c>
      <c r="N58" t="s">
        <v>1</v>
      </c>
      <c r="O58">
        <v>0.78500000000000003</v>
      </c>
      <c r="Q58">
        <v>5.8</v>
      </c>
      <c r="R58" t="s">
        <v>0</v>
      </c>
      <c r="S58">
        <v>3.4000000000000002E-2</v>
      </c>
      <c r="T58" t="s">
        <v>1</v>
      </c>
      <c r="U58">
        <v>0.81100000000000005</v>
      </c>
      <c r="X58">
        <v>5.7</v>
      </c>
      <c r="Y58" s="1">
        <v>2.6221999999999999E-2</v>
      </c>
      <c r="Z58" s="1">
        <v>0.80169000000000001</v>
      </c>
      <c r="AA58" s="1">
        <f t="shared" si="0"/>
        <v>0.82791199999999998</v>
      </c>
    </row>
    <row r="59" spans="1:27" x14ac:dyDescent="0.2">
      <c r="A59">
        <v>5.9</v>
      </c>
      <c r="B59" t="s">
        <v>0</v>
      </c>
      <c r="C59">
        <v>2.7E-2</v>
      </c>
      <c r="D59" t="s">
        <v>1</v>
      </c>
      <c r="E59">
        <v>0.79700000000000004</v>
      </c>
      <c r="G59">
        <v>5.9</v>
      </c>
      <c r="H59">
        <v>2.7E-2</v>
      </c>
      <c r="I59">
        <v>0.79700000000000004</v>
      </c>
      <c r="K59">
        <v>5.9</v>
      </c>
      <c r="L59" t="s">
        <v>0</v>
      </c>
      <c r="M59">
        <v>6.2E-2</v>
      </c>
      <c r="N59" t="s">
        <v>1</v>
      </c>
      <c r="O59">
        <v>0.77700000000000002</v>
      </c>
      <c r="Q59">
        <v>5.9</v>
      </c>
      <c r="R59" t="s">
        <v>0</v>
      </c>
      <c r="S59">
        <v>2.3E-2</v>
      </c>
      <c r="T59" t="s">
        <v>1</v>
      </c>
      <c r="U59">
        <v>0.79500000000000004</v>
      </c>
      <c r="X59">
        <v>5.8</v>
      </c>
      <c r="Y59" s="1">
        <v>2.7989E-2</v>
      </c>
      <c r="Z59" s="1">
        <v>0.80241600000000002</v>
      </c>
      <c r="AA59" s="1">
        <f t="shared" si="0"/>
        <v>0.83040500000000006</v>
      </c>
    </row>
    <row r="60" spans="1:27" x14ac:dyDescent="0.2">
      <c r="A60">
        <v>6</v>
      </c>
      <c r="B60" t="s">
        <v>0</v>
      </c>
      <c r="C60">
        <v>5.1999999999999998E-2</v>
      </c>
      <c r="D60" t="s">
        <v>1</v>
      </c>
      <c r="E60">
        <v>0.77900000000000003</v>
      </c>
      <c r="G60">
        <v>6</v>
      </c>
      <c r="H60">
        <v>5.1999999999999998E-2</v>
      </c>
      <c r="I60">
        <v>0.77900000000000003</v>
      </c>
      <c r="K60">
        <v>6</v>
      </c>
      <c r="L60" t="s">
        <v>0</v>
      </c>
      <c r="M60">
        <v>1.6E-2</v>
      </c>
      <c r="N60" t="s">
        <v>1</v>
      </c>
      <c r="O60">
        <v>0.80600000000000005</v>
      </c>
      <c r="Q60">
        <v>6</v>
      </c>
      <c r="R60" t="s">
        <v>0</v>
      </c>
      <c r="S60">
        <v>2.5999999999999999E-2</v>
      </c>
      <c r="T60" t="s">
        <v>1</v>
      </c>
      <c r="U60">
        <v>0.79700000000000004</v>
      </c>
      <c r="X60">
        <v>5.9</v>
      </c>
      <c r="Y60" s="1">
        <v>3.0276000000000001E-2</v>
      </c>
      <c r="Z60" s="1">
        <v>0.80287900000000001</v>
      </c>
      <c r="AA60" s="1">
        <f t="shared" si="0"/>
        <v>0.83315499999999998</v>
      </c>
    </row>
    <row r="61" spans="1:27" x14ac:dyDescent="0.2">
      <c r="A61">
        <v>6.1</v>
      </c>
      <c r="B61" t="s">
        <v>0</v>
      </c>
      <c r="C61">
        <v>0.04</v>
      </c>
      <c r="D61" t="s">
        <v>1</v>
      </c>
      <c r="E61">
        <v>0.80900000000000005</v>
      </c>
      <c r="G61">
        <v>6.1</v>
      </c>
      <c r="H61">
        <v>0.04</v>
      </c>
      <c r="I61">
        <v>0.80900000000000005</v>
      </c>
      <c r="K61">
        <v>6.1</v>
      </c>
      <c r="L61" t="s">
        <v>0</v>
      </c>
      <c r="M61">
        <v>2.8000000000000001E-2</v>
      </c>
      <c r="N61" t="s">
        <v>1</v>
      </c>
      <c r="O61">
        <v>0.79800000000000004</v>
      </c>
      <c r="Q61">
        <v>6.1</v>
      </c>
      <c r="R61" t="s">
        <v>0</v>
      </c>
      <c r="S61">
        <v>1.6E-2</v>
      </c>
      <c r="T61" t="s">
        <v>1</v>
      </c>
      <c r="U61">
        <v>0.81399999999999995</v>
      </c>
      <c r="X61">
        <v>6</v>
      </c>
      <c r="Y61" s="1">
        <v>3.2582E-2</v>
      </c>
      <c r="Z61" s="1">
        <v>0.80407399999999996</v>
      </c>
      <c r="AA61" s="1">
        <f t="shared" si="0"/>
        <v>0.83665599999999996</v>
      </c>
    </row>
    <row r="62" spans="1:27" x14ac:dyDescent="0.2">
      <c r="A62">
        <v>6.2</v>
      </c>
      <c r="B62" t="s">
        <v>0</v>
      </c>
      <c r="C62">
        <v>3.7999999999999999E-2</v>
      </c>
      <c r="D62" t="s">
        <v>1</v>
      </c>
      <c r="E62">
        <v>0.79200000000000004</v>
      </c>
      <c r="G62">
        <v>6.2</v>
      </c>
      <c r="H62">
        <v>3.7999999999999999E-2</v>
      </c>
      <c r="I62">
        <v>0.79200000000000004</v>
      </c>
      <c r="K62">
        <v>6.2</v>
      </c>
      <c r="L62" t="s">
        <v>0</v>
      </c>
      <c r="M62">
        <v>2.5000000000000001E-2</v>
      </c>
      <c r="N62" t="s">
        <v>1</v>
      </c>
      <c r="O62">
        <v>0.80300000000000005</v>
      </c>
      <c r="Q62">
        <v>6.2</v>
      </c>
      <c r="R62" t="s">
        <v>0</v>
      </c>
      <c r="S62">
        <v>5.1999999999999998E-2</v>
      </c>
      <c r="T62" t="s">
        <v>1</v>
      </c>
      <c r="U62">
        <v>0.78300000000000003</v>
      </c>
      <c r="X62">
        <v>6.1</v>
      </c>
      <c r="Y62" s="1">
        <v>3.5198E-2</v>
      </c>
      <c r="Z62" s="1">
        <v>0.80368399999999995</v>
      </c>
      <c r="AA62" s="1">
        <f t="shared" si="0"/>
        <v>0.83888199999999991</v>
      </c>
    </row>
    <row r="63" spans="1:27" x14ac:dyDescent="0.2">
      <c r="A63">
        <v>6.3</v>
      </c>
      <c r="B63" t="s">
        <v>0</v>
      </c>
      <c r="C63">
        <v>7.0999999999999994E-2</v>
      </c>
      <c r="D63" t="s">
        <v>1</v>
      </c>
      <c r="E63">
        <v>0.78100000000000003</v>
      </c>
      <c r="G63">
        <v>6.3</v>
      </c>
      <c r="H63">
        <v>7.0999999999999994E-2</v>
      </c>
      <c r="I63">
        <v>0.78100000000000003</v>
      </c>
      <c r="K63">
        <v>6.3</v>
      </c>
      <c r="L63" t="s">
        <v>0</v>
      </c>
      <c r="M63">
        <v>3.4000000000000002E-2</v>
      </c>
      <c r="N63" t="s">
        <v>1</v>
      </c>
      <c r="O63">
        <v>0.80100000000000005</v>
      </c>
      <c r="Q63">
        <v>6.3</v>
      </c>
      <c r="R63" t="s">
        <v>0</v>
      </c>
      <c r="S63">
        <v>3.2000000000000001E-2</v>
      </c>
      <c r="T63" t="s">
        <v>1</v>
      </c>
      <c r="U63">
        <v>0.81100000000000005</v>
      </c>
      <c r="X63">
        <v>6.2</v>
      </c>
      <c r="Y63" s="1">
        <v>3.6963999999999997E-2</v>
      </c>
      <c r="Z63" s="1">
        <v>0.80367500000000003</v>
      </c>
      <c r="AA63" s="1">
        <f t="shared" si="0"/>
        <v>0.84063900000000003</v>
      </c>
    </row>
    <row r="64" spans="1:27" x14ac:dyDescent="0.2">
      <c r="A64">
        <v>6.4</v>
      </c>
      <c r="B64" t="s">
        <v>0</v>
      </c>
      <c r="C64">
        <v>4.3999999999999997E-2</v>
      </c>
      <c r="D64" t="s">
        <v>1</v>
      </c>
      <c r="E64">
        <v>0.8</v>
      </c>
      <c r="G64">
        <v>6.4</v>
      </c>
      <c r="H64">
        <v>4.3999999999999997E-2</v>
      </c>
      <c r="I64">
        <v>0.8</v>
      </c>
      <c r="K64">
        <v>6.4</v>
      </c>
      <c r="L64" t="s">
        <v>0</v>
      </c>
      <c r="M64">
        <v>6.2E-2</v>
      </c>
      <c r="N64" t="s">
        <v>1</v>
      </c>
      <c r="O64">
        <v>0.77</v>
      </c>
      <c r="Q64">
        <v>6.4</v>
      </c>
      <c r="R64" t="s">
        <v>0</v>
      </c>
      <c r="S64">
        <v>3.1E-2</v>
      </c>
      <c r="T64" t="s">
        <v>1</v>
      </c>
      <c r="U64">
        <v>0.81699999999999995</v>
      </c>
      <c r="X64">
        <v>6.3</v>
      </c>
      <c r="Y64" s="1">
        <v>3.9868000000000001E-2</v>
      </c>
      <c r="Z64" s="1">
        <v>0.80354499999999995</v>
      </c>
      <c r="AA64" s="1">
        <f t="shared" si="0"/>
        <v>0.84341299999999997</v>
      </c>
    </row>
    <row r="65" spans="1:27" x14ac:dyDescent="0.2">
      <c r="A65">
        <v>6.5</v>
      </c>
      <c r="B65" t="s">
        <v>0</v>
      </c>
      <c r="C65">
        <v>6.7000000000000004E-2</v>
      </c>
      <c r="D65" t="s">
        <v>1</v>
      </c>
      <c r="E65">
        <v>0.78800000000000003</v>
      </c>
      <c r="G65">
        <v>6.5</v>
      </c>
      <c r="H65">
        <v>6.7000000000000004E-2</v>
      </c>
      <c r="I65">
        <v>0.78800000000000003</v>
      </c>
      <c r="K65">
        <v>6.5</v>
      </c>
      <c r="L65" t="s">
        <v>0</v>
      </c>
      <c r="M65">
        <v>3.5000000000000003E-2</v>
      </c>
      <c r="N65" t="s">
        <v>1</v>
      </c>
      <c r="O65">
        <v>0.79800000000000004</v>
      </c>
      <c r="Q65">
        <v>6.5</v>
      </c>
      <c r="R65" t="s">
        <v>0</v>
      </c>
      <c r="S65">
        <v>0.05</v>
      </c>
      <c r="T65" t="s">
        <v>1</v>
      </c>
      <c r="U65">
        <v>0.82399999999999995</v>
      </c>
      <c r="X65">
        <v>6.4</v>
      </c>
      <c r="Y65" s="1">
        <v>4.1727E-2</v>
      </c>
      <c r="Z65" s="1">
        <v>0.80439400000000005</v>
      </c>
      <c r="AA65" s="1">
        <f t="shared" si="0"/>
        <v>0.84612100000000001</v>
      </c>
    </row>
    <row r="66" spans="1:27" x14ac:dyDescent="0.2">
      <c r="A66">
        <v>6.6</v>
      </c>
      <c r="B66" t="s">
        <v>0</v>
      </c>
      <c r="C66">
        <v>4.9000000000000002E-2</v>
      </c>
      <c r="D66" t="s">
        <v>1</v>
      </c>
      <c r="E66">
        <v>0.79500000000000004</v>
      </c>
      <c r="G66">
        <v>6.6</v>
      </c>
      <c r="H66">
        <v>4.9000000000000002E-2</v>
      </c>
      <c r="I66">
        <v>0.79500000000000004</v>
      </c>
      <c r="K66">
        <v>6.6</v>
      </c>
      <c r="L66" t="s">
        <v>0</v>
      </c>
      <c r="M66">
        <v>5.3999999999999999E-2</v>
      </c>
      <c r="N66" t="s">
        <v>1</v>
      </c>
      <c r="O66">
        <v>0.79900000000000004</v>
      </c>
      <c r="Q66">
        <v>6.6</v>
      </c>
      <c r="R66" t="s">
        <v>0</v>
      </c>
      <c r="S66">
        <v>4.5999999999999999E-2</v>
      </c>
      <c r="T66" t="s">
        <v>1</v>
      </c>
      <c r="U66">
        <v>0.81299999999999994</v>
      </c>
      <c r="X66">
        <v>6.5</v>
      </c>
      <c r="Y66" s="1">
        <v>4.4748999999999997E-2</v>
      </c>
      <c r="Z66" s="1">
        <v>0.802782</v>
      </c>
      <c r="AA66" s="1">
        <f t="shared" si="0"/>
        <v>0.84753100000000003</v>
      </c>
    </row>
    <row r="67" spans="1:27" x14ac:dyDescent="0.2">
      <c r="A67">
        <v>6.7</v>
      </c>
      <c r="B67" t="s">
        <v>0</v>
      </c>
      <c r="C67">
        <v>5.2999999999999999E-2</v>
      </c>
      <c r="D67" t="s">
        <v>1</v>
      </c>
      <c r="E67">
        <v>0.80200000000000005</v>
      </c>
      <c r="G67">
        <v>6.7</v>
      </c>
      <c r="H67">
        <v>5.2999999999999999E-2</v>
      </c>
      <c r="I67">
        <v>0.80200000000000005</v>
      </c>
      <c r="K67">
        <v>6.7</v>
      </c>
      <c r="L67" t="s">
        <v>0</v>
      </c>
      <c r="M67">
        <v>6.4000000000000001E-2</v>
      </c>
      <c r="N67" t="s">
        <v>1</v>
      </c>
      <c r="O67">
        <v>0.80500000000000005</v>
      </c>
      <c r="Q67">
        <v>6.7</v>
      </c>
      <c r="R67" t="s">
        <v>0</v>
      </c>
      <c r="S67">
        <v>3.5000000000000003E-2</v>
      </c>
      <c r="T67" t="s">
        <v>1</v>
      </c>
      <c r="U67">
        <v>0.81799999999999995</v>
      </c>
      <c r="X67">
        <v>6.6</v>
      </c>
      <c r="Y67" s="1">
        <v>4.6313E-2</v>
      </c>
      <c r="Z67" s="1">
        <v>0.80340699999999998</v>
      </c>
      <c r="AA67" s="1">
        <f t="shared" ref="AA67:AA130" si="1">SUM(Y67:Z67)</f>
        <v>0.84972000000000003</v>
      </c>
    </row>
    <row r="68" spans="1:27" x14ac:dyDescent="0.2">
      <c r="A68">
        <v>6.8</v>
      </c>
      <c r="B68" t="s">
        <v>0</v>
      </c>
      <c r="C68">
        <v>4.3999999999999997E-2</v>
      </c>
      <c r="D68" t="s">
        <v>1</v>
      </c>
      <c r="E68">
        <v>0.79300000000000004</v>
      </c>
      <c r="G68">
        <v>6.8</v>
      </c>
      <c r="H68">
        <v>4.3999999999999997E-2</v>
      </c>
      <c r="I68">
        <v>0.79300000000000004</v>
      </c>
      <c r="K68">
        <v>6.8</v>
      </c>
      <c r="L68" t="s">
        <v>0</v>
      </c>
      <c r="M68">
        <v>5.5E-2</v>
      </c>
      <c r="N68" t="s">
        <v>1</v>
      </c>
      <c r="O68">
        <v>0.79100000000000004</v>
      </c>
      <c r="Q68">
        <v>6.8</v>
      </c>
      <c r="R68" t="s">
        <v>0</v>
      </c>
      <c r="S68">
        <v>6.3E-2</v>
      </c>
      <c r="T68" t="s">
        <v>1</v>
      </c>
      <c r="U68">
        <v>0.79100000000000004</v>
      </c>
      <c r="X68">
        <v>6.7</v>
      </c>
      <c r="Y68" s="1">
        <v>5.0562000000000003E-2</v>
      </c>
      <c r="Z68" s="1">
        <v>0.80190899999999998</v>
      </c>
      <c r="AA68" s="1">
        <f t="shared" si="1"/>
        <v>0.85247099999999998</v>
      </c>
    </row>
    <row r="69" spans="1:27" x14ac:dyDescent="0.2">
      <c r="A69">
        <v>6.9</v>
      </c>
      <c r="B69" t="s">
        <v>0</v>
      </c>
      <c r="C69">
        <v>5.7000000000000002E-2</v>
      </c>
      <c r="D69" t="s">
        <v>1</v>
      </c>
      <c r="E69">
        <v>0.81</v>
      </c>
      <c r="G69">
        <v>6.9</v>
      </c>
      <c r="H69">
        <v>5.7000000000000002E-2</v>
      </c>
      <c r="I69">
        <v>0.81</v>
      </c>
      <c r="K69">
        <v>6.9</v>
      </c>
      <c r="L69" t="s">
        <v>0</v>
      </c>
      <c r="M69">
        <v>0.06</v>
      </c>
      <c r="N69" t="s">
        <v>1</v>
      </c>
      <c r="O69">
        <v>0.78300000000000003</v>
      </c>
      <c r="Q69">
        <v>6.9</v>
      </c>
      <c r="R69" t="s">
        <v>0</v>
      </c>
      <c r="S69">
        <v>3.9E-2</v>
      </c>
      <c r="T69" t="s">
        <v>1</v>
      </c>
      <c r="U69">
        <v>0.79600000000000004</v>
      </c>
      <c r="X69">
        <v>6.8</v>
      </c>
      <c r="Y69" s="1">
        <v>5.2303000000000002E-2</v>
      </c>
      <c r="Z69" s="1">
        <v>0.80240500000000003</v>
      </c>
      <c r="AA69" s="1">
        <f t="shared" si="1"/>
        <v>0.85470800000000002</v>
      </c>
    </row>
    <row r="70" spans="1:27" x14ac:dyDescent="0.2">
      <c r="A70">
        <v>7</v>
      </c>
      <c r="B70" t="s">
        <v>0</v>
      </c>
      <c r="C70">
        <v>9.1999999999999998E-2</v>
      </c>
      <c r="D70" t="s">
        <v>1</v>
      </c>
      <c r="E70">
        <v>0.76900000000000002</v>
      </c>
      <c r="G70">
        <v>7</v>
      </c>
      <c r="H70">
        <v>9.1999999999999998E-2</v>
      </c>
      <c r="I70">
        <v>0.76900000000000002</v>
      </c>
      <c r="K70">
        <v>7</v>
      </c>
      <c r="L70" t="s">
        <v>0</v>
      </c>
      <c r="M70">
        <v>5.8000000000000003E-2</v>
      </c>
      <c r="N70" t="s">
        <v>1</v>
      </c>
      <c r="O70">
        <v>0.80300000000000005</v>
      </c>
      <c r="Q70">
        <v>7</v>
      </c>
      <c r="R70" t="s">
        <v>0</v>
      </c>
      <c r="S70">
        <v>0.106</v>
      </c>
      <c r="T70" t="s">
        <v>1</v>
      </c>
      <c r="U70">
        <v>0.77100000000000002</v>
      </c>
      <c r="X70">
        <v>6.9</v>
      </c>
      <c r="Y70" s="1">
        <v>5.5218000000000003E-2</v>
      </c>
      <c r="Z70" s="1">
        <v>0.800871</v>
      </c>
      <c r="AA70" s="1">
        <f t="shared" si="1"/>
        <v>0.85608899999999999</v>
      </c>
    </row>
    <row r="71" spans="1:27" x14ac:dyDescent="0.2">
      <c r="A71">
        <v>7.1</v>
      </c>
      <c r="B71" t="s">
        <v>0</v>
      </c>
      <c r="C71">
        <v>7.1999999999999995E-2</v>
      </c>
      <c r="D71" t="s">
        <v>1</v>
      </c>
      <c r="E71">
        <v>0.78200000000000003</v>
      </c>
      <c r="G71">
        <v>7.1</v>
      </c>
      <c r="H71">
        <v>7.1999999999999995E-2</v>
      </c>
      <c r="I71">
        <v>0.78200000000000003</v>
      </c>
      <c r="K71">
        <v>7.1</v>
      </c>
      <c r="L71" t="s">
        <v>0</v>
      </c>
      <c r="M71">
        <v>4.8000000000000001E-2</v>
      </c>
      <c r="N71" t="s">
        <v>1</v>
      </c>
      <c r="O71">
        <v>0.79</v>
      </c>
      <c r="Q71">
        <v>7.1</v>
      </c>
      <c r="R71" t="s">
        <v>0</v>
      </c>
      <c r="S71">
        <v>8.6999999999999994E-2</v>
      </c>
      <c r="T71" t="s">
        <v>1</v>
      </c>
      <c r="U71">
        <v>0.77400000000000002</v>
      </c>
      <c r="X71">
        <v>7</v>
      </c>
      <c r="Y71" s="1">
        <v>5.9434000000000001E-2</v>
      </c>
      <c r="Z71" s="1">
        <v>0.79950299999999996</v>
      </c>
      <c r="AA71" s="1">
        <f t="shared" si="1"/>
        <v>0.85893699999999995</v>
      </c>
    </row>
    <row r="72" spans="1:27" x14ac:dyDescent="0.2">
      <c r="A72">
        <v>7.2</v>
      </c>
      <c r="B72" t="s">
        <v>0</v>
      </c>
      <c r="C72">
        <v>6.0999999999999999E-2</v>
      </c>
      <c r="D72" t="s">
        <v>1</v>
      </c>
      <c r="E72">
        <v>0.81399999999999995</v>
      </c>
      <c r="G72">
        <v>7.2</v>
      </c>
      <c r="H72">
        <v>6.0999999999999999E-2</v>
      </c>
      <c r="I72">
        <v>0.81399999999999995</v>
      </c>
      <c r="K72">
        <v>7.2</v>
      </c>
      <c r="L72" t="s">
        <v>0</v>
      </c>
      <c r="M72">
        <v>7.9000000000000001E-2</v>
      </c>
      <c r="N72" t="s">
        <v>1</v>
      </c>
      <c r="O72">
        <v>0.78200000000000003</v>
      </c>
      <c r="Q72">
        <v>7.2</v>
      </c>
      <c r="R72" t="s">
        <v>0</v>
      </c>
      <c r="S72">
        <v>0.06</v>
      </c>
      <c r="T72" t="s">
        <v>1</v>
      </c>
      <c r="U72">
        <v>0.80800000000000005</v>
      </c>
      <c r="X72">
        <v>7.1</v>
      </c>
      <c r="Y72" s="1">
        <v>6.1532000000000003E-2</v>
      </c>
      <c r="Z72" s="1">
        <v>0.79905800000000005</v>
      </c>
      <c r="AA72" s="1">
        <f t="shared" si="1"/>
        <v>0.86059000000000008</v>
      </c>
    </row>
    <row r="73" spans="1:27" x14ac:dyDescent="0.2">
      <c r="A73">
        <v>7.3</v>
      </c>
      <c r="B73" t="s">
        <v>0</v>
      </c>
      <c r="C73">
        <v>7.6999999999999999E-2</v>
      </c>
      <c r="D73" t="s">
        <v>1</v>
      </c>
      <c r="E73">
        <v>0.78500000000000003</v>
      </c>
      <c r="G73">
        <v>7.3</v>
      </c>
      <c r="H73">
        <v>7.6999999999999999E-2</v>
      </c>
      <c r="I73">
        <v>0.78500000000000003</v>
      </c>
      <c r="K73">
        <v>7.3</v>
      </c>
      <c r="L73" t="s">
        <v>0</v>
      </c>
      <c r="M73">
        <v>3.9E-2</v>
      </c>
      <c r="N73" t="s">
        <v>1</v>
      </c>
      <c r="O73">
        <v>0.81</v>
      </c>
      <c r="Q73">
        <v>7.3</v>
      </c>
      <c r="R73" t="s">
        <v>0</v>
      </c>
      <c r="S73">
        <v>4.2999999999999997E-2</v>
      </c>
      <c r="T73" t="s">
        <v>1</v>
      </c>
      <c r="U73">
        <v>0.82099999999999995</v>
      </c>
      <c r="X73">
        <v>7.2</v>
      </c>
      <c r="Y73" s="1">
        <v>6.4404000000000003E-2</v>
      </c>
      <c r="Z73" s="1">
        <v>0.79856700000000003</v>
      </c>
      <c r="AA73" s="1">
        <f t="shared" si="1"/>
        <v>0.86297100000000004</v>
      </c>
    </row>
    <row r="74" spans="1:27" x14ac:dyDescent="0.2">
      <c r="A74">
        <v>7.4</v>
      </c>
      <c r="B74" t="s">
        <v>0</v>
      </c>
      <c r="C74">
        <v>7.6999999999999999E-2</v>
      </c>
      <c r="D74" t="s">
        <v>1</v>
      </c>
      <c r="E74">
        <v>0.79800000000000004</v>
      </c>
      <c r="G74">
        <v>7.4</v>
      </c>
      <c r="H74">
        <v>7.6999999999999999E-2</v>
      </c>
      <c r="I74">
        <v>0.79800000000000004</v>
      </c>
      <c r="K74">
        <v>7.4</v>
      </c>
      <c r="L74" t="s">
        <v>0</v>
      </c>
      <c r="M74">
        <v>5.3999999999999999E-2</v>
      </c>
      <c r="N74" t="s">
        <v>1</v>
      </c>
      <c r="O74">
        <v>0.80300000000000005</v>
      </c>
      <c r="Q74">
        <v>7.4</v>
      </c>
      <c r="R74" t="s">
        <v>0</v>
      </c>
      <c r="S74">
        <v>8.5999999999999993E-2</v>
      </c>
      <c r="T74" t="s">
        <v>1</v>
      </c>
      <c r="U74">
        <v>0.78300000000000003</v>
      </c>
      <c r="X74">
        <v>7.3</v>
      </c>
      <c r="Y74" s="1">
        <v>6.7623000000000003E-2</v>
      </c>
      <c r="Z74" s="1">
        <v>0.796902</v>
      </c>
      <c r="AA74" s="1">
        <f t="shared" si="1"/>
        <v>0.86452499999999999</v>
      </c>
    </row>
    <row r="75" spans="1:27" x14ac:dyDescent="0.2">
      <c r="A75">
        <v>7.5</v>
      </c>
      <c r="B75" t="s">
        <v>0</v>
      </c>
      <c r="C75">
        <v>4.8000000000000001E-2</v>
      </c>
      <c r="D75" t="s">
        <v>1</v>
      </c>
      <c r="E75">
        <v>0.80800000000000005</v>
      </c>
      <c r="G75">
        <v>7.5</v>
      </c>
      <c r="H75">
        <v>4.8000000000000001E-2</v>
      </c>
      <c r="I75">
        <v>0.80800000000000005</v>
      </c>
      <c r="K75">
        <v>7.5</v>
      </c>
      <c r="L75" t="s">
        <v>0</v>
      </c>
      <c r="M75">
        <v>7.5999999999999998E-2</v>
      </c>
      <c r="N75" t="s">
        <v>1</v>
      </c>
      <c r="O75">
        <v>0.80500000000000005</v>
      </c>
      <c r="Q75">
        <v>7.5</v>
      </c>
      <c r="R75" t="s">
        <v>0</v>
      </c>
      <c r="S75">
        <v>9.1999999999999998E-2</v>
      </c>
      <c r="T75" t="s">
        <v>1</v>
      </c>
      <c r="U75">
        <v>0.79200000000000004</v>
      </c>
      <c r="X75">
        <v>7.4</v>
      </c>
      <c r="Y75" s="1">
        <v>7.0624999999999993E-2</v>
      </c>
      <c r="Z75" s="1">
        <v>0.79531600000000002</v>
      </c>
      <c r="AA75" s="1">
        <f t="shared" si="1"/>
        <v>0.86594100000000007</v>
      </c>
    </row>
    <row r="76" spans="1:27" x14ac:dyDescent="0.2">
      <c r="A76">
        <v>7.6</v>
      </c>
      <c r="B76" t="s">
        <v>0</v>
      </c>
      <c r="C76">
        <v>0.08</v>
      </c>
      <c r="D76" t="s">
        <v>1</v>
      </c>
      <c r="E76">
        <v>0.78900000000000003</v>
      </c>
      <c r="G76">
        <v>7.6</v>
      </c>
      <c r="H76">
        <v>0.08</v>
      </c>
      <c r="I76">
        <v>0.78900000000000003</v>
      </c>
      <c r="K76">
        <v>7.6</v>
      </c>
      <c r="L76" t="s">
        <v>0</v>
      </c>
      <c r="M76">
        <v>9.7000000000000003E-2</v>
      </c>
      <c r="N76" t="s">
        <v>1</v>
      </c>
      <c r="O76">
        <v>0.78300000000000003</v>
      </c>
      <c r="Q76">
        <v>7.6</v>
      </c>
      <c r="R76" t="s">
        <v>0</v>
      </c>
      <c r="S76">
        <v>6.3E-2</v>
      </c>
      <c r="T76" t="s">
        <v>1</v>
      </c>
      <c r="U76">
        <v>0.80600000000000005</v>
      </c>
      <c r="X76">
        <v>7.5</v>
      </c>
      <c r="Y76" s="1">
        <v>7.3916999999999997E-2</v>
      </c>
      <c r="Z76" s="1">
        <v>0.79386199999999996</v>
      </c>
      <c r="AA76" s="1">
        <f t="shared" si="1"/>
        <v>0.86777899999999997</v>
      </c>
    </row>
    <row r="77" spans="1:27" x14ac:dyDescent="0.2">
      <c r="A77">
        <v>7.7</v>
      </c>
      <c r="B77" t="s">
        <v>0</v>
      </c>
      <c r="C77">
        <v>9.8000000000000004E-2</v>
      </c>
      <c r="D77" t="s">
        <v>1</v>
      </c>
      <c r="E77">
        <v>0.78100000000000003</v>
      </c>
      <c r="G77">
        <v>7.7</v>
      </c>
      <c r="H77">
        <v>9.8000000000000004E-2</v>
      </c>
      <c r="I77">
        <v>0.78100000000000003</v>
      </c>
      <c r="K77">
        <v>7.7</v>
      </c>
      <c r="L77" t="s">
        <v>0</v>
      </c>
      <c r="M77">
        <v>6.5000000000000002E-2</v>
      </c>
      <c r="N77" t="s">
        <v>1</v>
      </c>
      <c r="O77">
        <v>0.80500000000000005</v>
      </c>
      <c r="Q77">
        <v>7.7</v>
      </c>
      <c r="R77" t="s">
        <v>0</v>
      </c>
      <c r="S77">
        <v>5.2999999999999999E-2</v>
      </c>
      <c r="T77" t="s">
        <v>1</v>
      </c>
      <c r="U77">
        <v>0.8</v>
      </c>
      <c r="X77">
        <v>7.6</v>
      </c>
      <c r="Y77" s="1">
        <v>7.7524999999999997E-2</v>
      </c>
      <c r="Z77" s="1">
        <v>0.79232100000000005</v>
      </c>
      <c r="AA77" s="1">
        <f t="shared" si="1"/>
        <v>0.86984600000000001</v>
      </c>
    </row>
    <row r="78" spans="1:27" x14ac:dyDescent="0.2">
      <c r="A78">
        <v>7.8</v>
      </c>
      <c r="B78" t="s">
        <v>0</v>
      </c>
      <c r="C78">
        <v>7.6999999999999999E-2</v>
      </c>
      <c r="D78" t="s">
        <v>1</v>
      </c>
      <c r="E78">
        <v>0.79300000000000004</v>
      </c>
      <c r="G78">
        <v>7.8</v>
      </c>
      <c r="H78">
        <v>7.6999999999999999E-2</v>
      </c>
      <c r="I78">
        <v>0.79300000000000004</v>
      </c>
      <c r="K78">
        <v>7.8</v>
      </c>
      <c r="L78" t="s">
        <v>0</v>
      </c>
      <c r="M78">
        <v>7.9000000000000001E-2</v>
      </c>
      <c r="N78" t="s">
        <v>1</v>
      </c>
      <c r="O78">
        <v>0.80100000000000005</v>
      </c>
      <c r="Q78">
        <v>7.8</v>
      </c>
      <c r="R78" t="s">
        <v>0</v>
      </c>
      <c r="S78">
        <v>7.9000000000000001E-2</v>
      </c>
      <c r="T78" t="s">
        <v>1</v>
      </c>
      <c r="U78">
        <v>0.78700000000000003</v>
      </c>
      <c r="X78">
        <v>7.7</v>
      </c>
      <c r="Y78" s="1">
        <v>8.0255000000000007E-2</v>
      </c>
      <c r="Z78" s="1">
        <v>0.79022099999999995</v>
      </c>
      <c r="AA78" s="1">
        <f t="shared" si="1"/>
        <v>0.87047599999999992</v>
      </c>
    </row>
    <row r="79" spans="1:27" x14ac:dyDescent="0.2">
      <c r="A79">
        <v>7.9</v>
      </c>
      <c r="B79" t="s">
        <v>0</v>
      </c>
      <c r="C79">
        <v>9.9000000000000005E-2</v>
      </c>
      <c r="D79" t="s">
        <v>1</v>
      </c>
      <c r="E79">
        <v>0.77100000000000002</v>
      </c>
      <c r="G79">
        <v>7.9</v>
      </c>
      <c r="H79">
        <v>9.9000000000000005E-2</v>
      </c>
      <c r="I79">
        <v>0.77100000000000002</v>
      </c>
      <c r="K79">
        <v>7.9</v>
      </c>
      <c r="L79" t="s">
        <v>0</v>
      </c>
      <c r="M79">
        <v>9.4E-2</v>
      </c>
      <c r="N79" t="s">
        <v>1</v>
      </c>
      <c r="O79">
        <v>0.77100000000000002</v>
      </c>
      <c r="Q79">
        <v>7.9</v>
      </c>
      <c r="R79" t="s">
        <v>0</v>
      </c>
      <c r="S79">
        <v>6.2E-2</v>
      </c>
      <c r="T79" t="s">
        <v>1</v>
      </c>
      <c r="U79">
        <v>0.81499999999999995</v>
      </c>
      <c r="X79">
        <v>7.8</v>
      </c>
      <c r="Y79" s="1">
        <v>8.3478999999999998E-2</v>
      </c>
      <c r="Z79" s="1">
        <v>0.78898400000000002</v>
      </c>
      <c r="AA79" s="1">
        <f t="shared" si="1"/>
        <v>0.87246299999999999</v>
      </c>
    </row>
    <row r="80" spans="1:27" x14ac:dyDescent="0.2">
      <c r="A80">
        <v>8</v>
      </c>
      <c r="B80" t="s">
        <v>0</v>
      </c>
      <c r="C80">
        <v>8.8999999999999996E-2</v>
      </c>
      <c r="D80" t="s">
        <v>1</v>
      </c>
      <c r="E80">
        <v>0.80200000000000005</v>
      </c>
      <c r="G80">
        <v>8</v>
      </c>
      <c r="H80">
        <v>8.8999999999999996E-2</v>
      </c>
      <c r="I80">
        <v>0.80200000000000005</v>
      </c>
      <c r="K80">
        <v>8</v>
      </c>
      <c r="L80" t="s">
        <v>0</v>
      </c>
      <c r="M80">
        <v>0.10100000000000001</v>
      </c>
      <c r="N80" t="s">
        <v>1</v>
      </c>
      <c r="O80">
        <v>0.78200000000000003</v>
      </c>
      <c r="Q80">
        <v>8</v>
      </c>
      <c r="R80" t="s">
        <v>0</v>
      </c>
      <c r="S80">
        <v>0.114</v>
      </c>
      <c r="T80" t="s">
        <v>1</v>
      </c>
      <c r="U80">
        <v>0.77300000000000002</v>
      </c>
      <c r="X80">
        <v>7.9</v>
      </c>
      <c r="Y80" s="1">
        <v>8.7232000000000004E-2</v>
      </c>
      <c r="Z80" s="1">
        <v>0.78719399999999995</v>
      </c>
      <c r="AA80" s="1">
        <f t="shared" si="1"/>
        <v>0.87442599999999993</v>
      </c>
    </row>
    <row r="81" spans="1:27" x14ac:dyDescent="0.2">
      <c r="A81">
        <v>8.1</v>
      </c>
      <c r="B81" t="s">
        <v>0</v>
      </c>
      <c r="C81">
        <v>9.8000000000000004E-2</v>
      </c>
      <c r="D81" t="s">
        <v>1</v>
      </c>
      <c r="E81">
        <v>0.76800000000000002</v>
      </c>
      <c r="G81">
        <v>8.1</v>
      </c>
      <c r="H81">
        <v>9.8000000000000004E-2</v>
      </c>
      <c r="I81">
        <v>0.76800000000000002</v>
      </c>
      <c r="K81">
        <v>8.1</v>
      </c>
      <c r="L81" t="s">
        <v>0</v>
      </c>
      <c r="M81">
        <v>7.6999999999999999E-2</v>
      </c>
      <c r="N81" t="s">
        <v>1</v>
      </c>
      <c r="O81">
        <v>0.80900000000000005</v>
      </c>
      <c r="Q81">
        <v>8.1</v>
      </c>
      <c r="R81" t="s">
        <v>0</v>
      </c>
      <c r="S81">
        <v>9.6000000000000002E-2</v>
      </c>
      <c r="T81" t="s">
        <v>1</v>
      </c>
      <c r="U81">
        <v>0.77900000000000003</v>
      </c>
      <c r="X81">
        <v>8</v>
      </c>
      <c r="Y81" s="1">
        <v>9.0769000000000002E-2</v>
      </c>
      <c r="Z81" s="1">
        <v>0.78495099999999995</v>
      </c>
      <c r="AA81" s="1">
        <f t="shared" si="1"/>
        <v>0.87571999999999994</v>
      </c>
    </row>
    <row r="82" spans="1:27" x14ac:dyDescent="0.2">
      <c r="A82">
        <v>8.1999999999999993</v>
      </c>
      <c r="B82" t="s">
        <v>0</v>
      </c>
      <c r="C82">
        <v>9.2999999999999999E-2</v>
      </c>
      <c r="D82" t="s">
        <v>1</v>
      </c>
      <c r="E82">
        <v>0.77900000000000003</v>
      </c>
      <c r="G82">
        <v>8.1999999999999993</v>
      </c>
      <c r="H82">
        <v>9.2999999999999999E-2</v>
      </c>
      <c r="I82">
        <v>0.77900000000000003</v>
      </c>
      <c r="K82">
        <v>8.1999999999999993</v>
      </c>
      <c r="L82" t="s">
        <v>0</v>
      </c>
      <c r="M82">
        <v>9.5000000000000001E-2</v>
      </c>
      <c r="N82" t="s">
        <v>1</v>
      </c>
      <c r="O82">
        <v>0.76700000000000002</v>
      </c>
      <c r="Q82">
        <v>8.1999999999999993</v>
      </c>
      <c r="R82" t="s">
        <v>0</v>
      </c>
      <c r="S82">
        <v>5.8999999999999997E-2</v>
      </c>
      <c r="T82" t="s">
        <v>1</v>
      </c>
      <c r="U82">
        <v>0.81799999999999995</v>
      </c>
      <c r="X82">
        <v>8.1</v>
      </c>
      <c r="Y82" s="1">
        <v>9.4863000000000003E-2</v>
      </c>
      <c r="Z82" s="1">
        <v>0.78241899999999998</v>
      </c>
      <c r="AA82" s="1">
        <f t="shared" si="1"/>
        <v>0.87728200000000001</v>
      </c>
    </row>
    <row r="83" spans="1:27" x14ac:dyDescent="0.2">
      <c r="A83">
        <v>8.3000000000000007</v>
      </c>
      <c r="B83" t="s">
        <v>0</v>
      </c>
      <c r="C83">
        <v>7.3999999999999996E-2</v>
      </c>
      <c r="D83" t="s">
        <v>1</v>
      </c>
      <c r="E83">
        <v>0.81799999999999995</v>
      </c>
      <c r="G83">
        <v>8.3000000000000007</v>
      </c>
      <c r="H83">
        <v>7.3999999999999996E-2</v>
      </c>
      <c r="I83">
        <v>0.81799999999999995</v>
      </c>
      <c r="K83">
        <v>8.3000000000000007</v>
      </c>
      <c r="L83" t="s">
        <v>0</v>
      </c>
      <c r="M83">
        <v>0.1</v>
      </c>
      <c r="N83" t="s">
        <v>1</v>
      </c>
      <c r="O83">
        <v>0.78200000000000003</v>
      </c>
      <c r="Q83">
        <v>8.3000000000000007</v>
      </c>
      <c r="R83" t="s">
        <v>0</v>
      </c>
      <c r="S83">
        <v>0.124</v>
      </c>
      <c r="T83" t="s">
        <v>1</v>
      </c>
      <c r="U83">
        <v>0.77200000000000002</v>
      </c>
      <c r="X83">
        <v>8.1999999999999993</v>
      </c>
      <c r="Y83" s="1">
        <v>9.6895999999999996E-2</v>
      </c>
      <c r="Z83" s="1">
        <v>0.78162799999999999</v>
      </c>
      <c r="AA83" s="1">
        <f t="shared" si="1"/>
        <v>0.87852399999999997</v>
      </c>
    </row>
    <row r="84" spans="1:27" x14ac:dyDescent="0.2">
      <c r="A84">
        <v>8.4</v>
      </c>
      <c r="B84" t="s">
        <v>0</v>
      </c>
      <c r="C84">
        <v>0.08</v>
      </c>
      <c r="D84" t="s">
        <v>1</v>
      </c>
      <c r="E84">
        <v>0.79400000000000004</v>
      </c>
      <c r="G84">
        <v>8.4</v>
      </c>
      <c r="H84">
        <v>0.08</v>
      </c>
      <c r="I84">
        <v>0.79400000000000004</v>
      </c>
      <c r="K84">
        <v>8.4</v>
      </c>
      <c r="L84" t="s">
        <v>0</v>
      </c>
      <c r="M84">
        <v>0.106</v>
      </c>
      <c r="N84" t="s">
        <v>1</v>
      </c>
      <c r="O84">
        <v>0.76700000000000002</v>
      </c>
      <c r="Q84">
        <v>8.4</v>
      </c>
      <c r="R84" t="s">
        <v>0</v>
      </c>
      <c r="S84">
        <v>0.106</v>
      </c>
      <c r="T84" t="s">
        <v>1</v>
      </c>
      <c r="U84">
        <v>0.78700000000000003</v>
      </c>
      <c r="X84">
        <v>8.3000000000000007</v>
      </c>
      <c r="Y84" s="1">
        <v>0.100747</v>
      </c>
      <c r="Z84" s="1">
        <v>0.77940200000000004</v>
      </c>
      <c r="AA84" s="1">
        <f t="shared" si="1"/>
        <v>0.88014900000000007</v>
      </c>
    </row>
    <row r="85" spans="1:27" x14ac:dyDescent="0.2">
      <c r="A85">
        <v>8.5</v>
      </c>
      <c r="B85" t="s">
        <v>0</v>
      </c>
      <c r="C85">
        <v>8.5000000000000006E-2</v>
      </c>
      <c r="D85" t="s">
        <v>1</v>
      </c>
      <c r="E85">
        <v>0.78900000000000003</v>
      </c>
      <c r="G85">
        <v>8.5</v>
      </c>
      <c r="H85">
        <v>8.5000000000000006E-2</v>
      </c>
      <c r="I85">
        <v>0.78900000000000003</v>
      </c>
      <c r="K85">
        <v>8.5</v>
      </c>
      <c r="L85" t="s">
        <v>0</v>
      </c>
      <c r="M85">
        <v>8.5000000000000006E-2</v>
      </c>
      <c r="N85" t="s">
        <v>1</v>
      </c>
      <c r="O85">
        <v>0.77700000000000002</v>
      </c>
      <c r="Q85">
        <v>8.5</v>
      </c>
      <c r="R85" t="s">
        <v>0</v>
      </c>
      <c r="S85">
        <v>0.108</v>
      </c>
      <c r="T85" t="s">
        <v>1</v>
      </c>
      <c r="U85">
        <v>0.754</v>
      </c>
      <c r="X85">
        <v>8.4</v>
      </c>
      <c r="Y85" s="1">
        <v>0.10302600000000001</v>
      </c>
      <c r="Z85" s="1">
        <v>0.778312</v>
      </c>
      <c r="AA85" s="1">
        <f t="shared" si="1"/>
        <v>0.88133799999999995</v>
      </c>
    </row>
    <row r="86" spans="1:27" x14ac:dyDescent="0.2">
      <c r="A86">
        <v>8.6</v>
      </c>
      <c r="B86" t="s">
        <v>0</v>
      </c>
      <c r="C86">
        <v>0.114</v>
      </c>
      <c r="D86" t="s">
        <v>1</v>
      </c>
      <c r="E86">
        <v>0.78200000000000003</v>
      </c>
      <c r="G86">
        <v>8.6</v>
      </c>
      <c r="H86">
        <v>0.114</v>
      </c>
      <c r="I86">
        <v>0.78200000000000003</v>
      </c>
      <c r="K86">
        <v>8.6</v>
      </c>
      <c r="L86" t="s">
        <v>0</v>
      </c>
      <c r="M86">
        <v>9.1999999999999998E-2</v>
      </c>
      <c r="N86" t="s">
        <v>1</v>
      </c>
      <c r="O86">
        <v>0.78</v>
      </c>
      <c r="Q86">
        <v>8.6</v>
      </c>
      <c r="R86" t="s">
        <v>0</v>
      </c>
      <c r="S86">
        <v>0.11</v>
      </c>
      <c r="T86" t="s">
        <v>1</v>
      </c>
      <c r="U86">
        <v>0.78200000000000003</v>
      </c>
      <c r="X86">
        <v>8.5</v>
      </c>
      <c r="Y86" s="1">
        <v>0.108887</v>
      </c>
      <c r="Z86" s="1">
        <v>0.77392899999999998</v>
      </c>
      <c r="AA86" s="1">
        <f t="shared" si="1"/>
        <v>0.88281599999999993</v>
      </c>
    </row>
    <row r="87" spans="1:27" x14ac:dyDescent="0.2">
      <c r="A87">
        <v>8.6999999999999993</v>
      </c>
      <c r="B87" t="s">
        <v>0</v>
      </c>
      <c r="C87">
        <v>0.111</v>
      </c>
      <c r="D87" t="s">
        <v>1</v>
      </c>
      <c r="E87">
        <v>0.78200000000000003</v>
      </c>
      <c r="G87">
        <v>8.6999999999999993</v>
      </c>
      <c r="H87">
        <v>0.111</v>
      </c>
      <c r="I87">
        <v>0.78200000000000003</v>
      </c>
      <c r="K87">
        <v>8.6999999999999993</v>
      </c>
      <c r="L87" t="s">
        <v>0</v>
      </c>
      <c r="M87">
        <v>9.0999999999999998E-2</v>
      </c>
      <c r="N87" t="s">
        <v>1</v>
      </c>
      <c r="O87">
        <v>0.77600000000000002</v>
      </c>
      <c r="Q87">
        <v>8.6999999999999993</v>
      </c>
      <c r="R87" t="s">
        <v>0</v>
      </c>
      <c r="S87">
        <v>7.0000000000000007E-2</v>
      </c>
      <c r="T87" t="s">
        <v>1</v>
      </c>
      <c r="U87">
        <v>0.81</v>
      </c>
      <c r="X87">
        <v>8.6</v>
      </c>
      <c r="Y87" s="1">
        <v>0.114108</v>
      </c>
      <c r="Z87" s="1">
        <v>0.77027999999999996</v>
      </c>
      <c r="AA87" s="1">
        <f t="shared" si="1"/>
        <v>0.88438799999999995</v>
      </c>
    </row>
    <row r="88" spans="1:27" x14ac:dyDescent="0.2">
      <c r="A88">
        <v>8.8000000000000007</v>
      </c>
      <c r="B88" t="s">
        <v>0</v>
      </c>
      <c r="C88">
        <v>7.3999999999999996E-2</v>
      </c>
      <c r="D88" t="s">
        <v>1</v>
      </c>
      <c r="E88">
        <v>0.80100000000000005</v>
      </c>
      <c r="G88">
        <v>8.8000000000000007</v>
      </c>
      <c r="H88">
        <v>7.3999999999999996E-2</v>
      </c>
      <c r="I88">
        <v>0.80100000000000005</v>
      </c>
      <c r="K88">
        <v>8.8000000000000007</v>
      </c>
      <c r="L88" t="s">
        <v>0</v>
      </c>
      <c r="M88">
        <v>0.121</v>
      </c>
      <c r="N88" t="s">
        <v>1</v>
      </c>
      <c r="O88">
        <v>0.76100000000000001</v>
      </c>
      <c r="Q88">
        <v>8.8000000000000007</v>
      </c>
      <c r="R88" t="s">
        <v>0</v>
      </c>
      <c r="S88">
        <v>0.113</v>
      </c>
      <c r="T88" t="s">
        <v>1</v>
      </c>
      <c r="U88">
        <v>0.78</v>
      </c>
      <c r="X88">
        <v>8.6999999999999993</v>
      </c>
      <c r="Y88" s="1">
        <v>0.116036</v>
      </c>
      <c r="Z88" s="1">
        <v>0.769791</v>
      </c>
      <c r="AA88" s="1">
        <f t="shared" si="1"/>
        <v>0.88582700000000003</v>
      </c>
    </row>
    <row r="89" spans="1:27" x14ac:dyDescent="0.2">
      <c r="A89">
        <v>8.9</v>
      </c>
      <c r="B89" t="s">
        <v>0</v>
      </c>
      <c r="C89">
        <v>0.14499999999999999</v>
      </c>
      <c r="D89" t="s">
        <v>1</v>
      </c>
      <c r="E89">
        <v>0.748</v>
      </c>
      <c r="G89">
        <v>8.9</v>
      </c>
      <c r="H89">
        <v>0.14499999999999999</v>
      </c>
      <c r="I89">
        <v>0.748</v>
      </c>
      <c r="K89">
        <v>8.9</v>
      </c>
      <c r="L89" t="s">
        <v>0</v>
      </c>
      <c r="M89">
        <v>0.114</v>
      </c>
      <c r="N89" t="s">
        <v>1</v>
      </c>
      <c r="O89">
        <v>0.76900000000000002</v>
      </c>
      <c r="Q89">
        <v>8.9</v>
      </c>
      <c r="R89" t="s">
        <v>0</v>
      </c>
      <c r="S89">
        <v>0.127</v>
      </c>
      <c r="T89" t="s">
        <v>1</v>
      </c>
      <c r="U89">
        <v>0.76</v>
      </c>
      <c r="X89">
        <v>8.8000000000000007</v>
      </c>
      <c r="Y89" s="1">
        <v>0.119327</v>
      </c>
      <c r="Z89" s="1">
        <v>0.767563</v>
      </c>
      <c r="AA89" s="1">
        <f t="shared" si="1"/>
        <v>0.88688999999999996</v>
      </c>
    </row>
    <row r="90" spans="1:27" x14ac:dyDescent="0.2">
      <c r="A90">
        <v>9</v>
      </c>
      <c r="B90" t="s">
        <v>0</v>
      </c>
      <c r="C90">
        <v>0.156</v>
      </c>
      <c r="D90" t="s">
        <v>1</v>
      </c>
      <c r="E90">
        <v>0.746</v>
      </c>
      <c r="G90">
        <v>9</v>
      </c>
      <c r="H90">
        <v>0.156</v>
      </c>
      <c r="I90">
        <v>0.746</v>
      </c>
      <c r="K90">
        <v>9</v>
      </c>
      <c r="L90" t="s">
        <v>0</v>
      </c>
      <c r="M90">
        <v>0.104</v>
      </c>
      <c r="N90" t="s">
        <v>1</v>
      </c>
      <c r="O90">
        <v>0.77900000000000003</v>
      </c>
      <c r="Q90">
        <v>9</v>
      </c>
      <c r="R90" t="s">
        <v>0</v>
      </c>
      <c r="S90">
        <v>0.125</v>
      </c>
      <c r="T90" t="s">
        <v>1</v>
      </c>
      <c r="U90">
        <v>0.76500000000000001</v>
      </c>
      <c r="X90">
        <v>8.9</v>
      </c>
      <c r="Y90" s="1">
        <v>0.124419</v>
      </c>
      <c r="Z90" s="1">
        <v>0.76378699999999999</v>
      </c>
      <c r="AA90" s="1">
        <f t="shared" si="1"/>
        <v>0.88820600000000005</v>
      </c>
    </row>
    <row r="91" spans="1:27" x14ac:dyDescent="0.2">
      <c r="A91">
        <v>9.1</v>
      </c>
      <c r="B91" t="s">
        <v>0</v>
      </c>
      <c r="C91">
        <v>0.13900000000000001</v>
      </c>
      <c r="D91" t="s">
        <v>1</v>
      </c>
      <c r="E91">
        <v>0.751</v>
      </c>
      <c r="G91">
        <v>9.1</v>
      </c>
      <c r="H91">
        <v>0.13900000000000001</v>
      </c>
      <c r="I91">
        <v>0.751</v>
      </c>
      <c r="K91">
        <v>9.1</v>
      </c>
      <c r="L91" t="s">
        <v>0</v>
      </c>
      <c r="M91">
        <v>0.123</v>
      </c>
      <c r="N91" t="s">
        <v>1</v>
      </c>
      <c r="O91">
        <v>0.77400000000000002</v>
      </c>
      <c r="Q91">
        <v>9.1</v>
      </c>
      <c r="R91" t="s">
        <v>0</v>
      </c>
      <c r="S91">
        <v>0.129</v>
      </c>
      <c r="T91" t="s">
        <v>1</v>
      </c>
      <c r="U91">
        <v>0.76100000000000001</v>
      </c>
      <c r="X91">
        <v>9</v>
      </c>
      <c r="Y91" s="1">
        <v>0.12673999999999999</v>
      </c>
      <c r="Z91" s="1">
        <v>0.76273100000000005</v>
      </c>
      <c r="AA91" s="1">
        <f t="shared" si="1"/>
        <v>0.88947100000000001</v>
      </c>
    </row>
    <row r="92" spans="1:27" x14ac:dyDescent="0.2">
      <c r="A92">
        <v>9.1999999999999993</v>
      </c>
      <c r="B92" t="s">
        <v>0</v>
      </c>
      <c r="C92">
        <v>0.161</v>
      </c>
      <c r="D92" t="s">
        <v>1</v>
      </c>
      <c r="E92">
        <v>0.74299999999999999</v>
      </c>
      <c r="G92">
        <v>9.1999999999999993</v>
      </c>
      <c r="H92">
        <v>0.161</v>
      </c>
      <c r="I92">
        <v>0.74299999999999999</v>
      </c>
      <c r="K92">
        <v>9.1999999999999993</v>
      </c>
      <c r="L92" t="s">
        <v>0</v>
      </c>
      <c r="M92">
        <v>9.2999999999999999E-2</v>
      </c>
      <c r="N92" t="s">
        <v>1</v>
      </c>
      <c r="O92">
        <v>0.77500000000000002</v>
      </c>
      <c r="Q92">
        <v>9.1999999999999993</v>
      </c>
      <c r="R92" t="s">
        <v>0</v>
      </c>
      <c r="S92">
        <v>0.13300000000000001</v>
      </c>
      <c r="T92" t="s">
        <v>1</v>
      </c>
      <c r="U92">
        <v>0.76</v>
      </c>
      <c r="X92">
        <v>9.1</v>
      </c>
      <c r="Y92" s="1">
        <v>0.13105</v>
      </c>
      <c r="Z92" s="1">
        <v>0.75931300000000002</v>
      </c>
      <c r="AA92" s="1">
        <f t="shared" si="1"/>
        <v>0.89036300000000002</v>
      </c>
    </row>
    <row r="93" spans="1:27" x14ac:dyDescent="0.2">
      <c r="A93">
        <v>9.3000000000000007</v>
      </c>
      <c r="B93" t="s">
        <v>0</v>
      </c>
      <c r="C93">
        <v>0.14899999999999999</v>
      </c>
      <c r="D93" t="s">
        <v>1</v>
      </c>
      <c r="E93">
        <v>0.753</v>
      </c>
      <c r="G93">
        <v>9.3000000000000007</v>
      </c>
      <c r="H93">
        <v>0.14899999999999999</v>
      </c>
      <c r="I93">
        <v>0.753</v>
      </c>
      <c r="K93">
        <v>9.3000000000000007</v>
      </c>
      <c r="L93" t="s">
        <v>0</v>
      </c>
      <c r="M93">
        <v>9.6000000000000002E-2</v>
      </c>
      <c r="N93" t="s">
        <v>1</v>
      </c>
      <c r="O93">
        <v>0.78</v>
      </c>
      <c r="Q93">
        <v>9.3000000000000007</v>
      </c>
      <c r="R93" t="s">
        <v>0</v>
      </c>
      <c r="S93">
        <v>0.16900000000000001</v>
      </c>
      <c r="T93" t="s">
        <v>1</v>
      </c>
      <c r="U93">
        <v>0.71699999999999997</v>
      </c>
      <c r="X93">
        <v>9.1999999999999993</v>
      </c>
      <c r="Y93" s="1">
        <v>0.13578699999999999</v>
      </c>
      <c r="Z93" s="1">
        <v>0.75643400000000005</v>
      </c>
      <c r="AA93" s="1">
        <f t="shared" si="1"/>
        <v>0.89222100000000004</v>
      </c>
    </row>
    <row r="94" spans="1:27" x14ac:dyDescent="0.2">
      <c r="A94">
        <v>9.4</v>
      </c>
      <c r="B94" t="s">
        <v>0</v>
      </c>
      <c r="C94">
        <v>0.182</v>
      </c>
      <c r="D94" t="s">
        <v>1</v>
      </c>
      <c r="E94">
        <v>0.72499999999999998</v>
      </c>
      <c r="G94">
        <v>9.4</v>
      </c>
      <c r="H94">
        <v>0.182</v>
      </c>
      <c r="I94">
        <v>0.72499999999999998</v>
      </c>
      <c r="K94">
        <v>9.4</v>
      </c>
      <c r="L94" t="s">
        <v>0</v>
      </c>
      <c r="M94">
        <v>0.155</v>
      </c>
      <c r="N94" t="s">
        <v>1</v>
      </c>
      <c r="O94">
        <v>0.74099999999999999</v>
      </c>
      <c r="Q94">
        <v>9.4</v>
      </c>
      <c r="R94" t="s">
        <v>0</v>
      </c>
      <c r="S94">
        <v>0.156</v>
      </c>
      <c r="T94" t="s">
        <v>1</v>
      </c>
      <c r="U94">
        <v>0.746</v>
      </c>
      <c r="X94">
        <v>9.3000000000000007</v>
      </c>
      <c r="Y94" s="1">
        <v>0.136818</v>
      </c>
      <c r="Z94" s="1">
        <v>0.75564799999999999</v>
      </c>
      <c r="AA94" s="1">
        <f t="shared" si="1"/>
        <v>0.89246599999999998</v>
      </c>
    </row>
    <row r="95" spans="1:27" x14ac:dyDescent="0.2">
      <c r="A95">
        <v>9.5</v>
      </c>
      <c r="B95" t="s">
        <v>0</v>
      </c>
      <c r="C95">
        <v>0.15</v>
      </c>
      <c r="D95" t="s">
        <v>1</v>
      </c>
      <c r="E95">
        <v>0.73399999999999999</v>
      </c>
      <c r="G95">
        <v>9.5</v>
      </c>
      <c r="H95">
        <v>0.15</v>
      </c>
      <c r="I95">
        <v>0.73399999999999999</v>
      </c>
      <c r="K95">
        <v>9.5</v>
      </c>
      <c r="L95" t="s">
        <v>0</v>
      </c>
      <c r="M95">
        <v>0.13200000000000001</v>
      </c>
      <c r="N95" t="s">
        <v>1</v>
      </c>
      <c r="O95">
        <v>0.755</v>
      </c>
      <c r="Q95">
        <v>9.5</v>
      </c>
      <c r="R95" t="s">
        <v>0</v>
      </c>
      <c r="S95">
        <v>8.8999999999999996E-2</v>
      </c>
      <c r="T95" t="s">
        <v>1</v>
      </c>
      <c r="U95">
        <v>0.78400000000000003</v>
      </c>
      <c r="X95">
        <v>9.4</v>
      </c>
      <c r="Y95" s="1">
        <v>0.14081399999999999</v>
      </c>
      <c r="Z95" s="1">
        <v>0.75284300000000004</v>
      </c>
      <c r="AA95" s="1">
        <f t="shared" si="1"/>
        <v>0.89365700000000003</v>
      </c>
    </row>
    <row r="96" spans="1:27" x14ac:dyDescent="0.2">
      <c r="A96">
        <v>9.6</v>
      </c>
      <c r="B96" t="s">
        <v>0</v>
      </c>
      <c r="C96">
        <v>0.1</v>
      </c>
      <c r="D96" t="s">
        <v>1</v>
      </c>
      <c r="E96">
        <v>0.77300000000000002</v>
      </c>
      <c r="G96">
        <v>9.6</v>
      </c>
      <c r="H96">
        <v>0.1</v>
      </c>
      <c r="I96">
        <v>0.77300000000000002</v>
      </c>
      <c r="K96">
        <v>9.6</v>
      </c>
      <c r="L96" t="s">
        <v>0</v>
      </c>
      <c r="M96">
        <v>0.23400000000000001</v>
      </c>
      <c r="N96" t="s">
        <v>1</v>
      </c>
      <c r="O96">
        <v>0.68700000000000006</v>
      </c>
      <c r="Q96">
        <v>9.6</v>
      </c>
      <c r="R96" t="s">
        <v>0</v>
      </c>
      <c r="S96">
        <v>0.14599999999999999</v>
      </c>
      <c r="T96" t="s">
        <v>1</v>
      </c>
      <c r="U96">
        <v>0.73699999999999999</v>
      </c>
      <c r="X96">
        <v>9.5</v>
      </c>
      <c r="Y96" s="1">
        <v>0.14555799999999999</v>
      </c>
      <c r="Z96" s="1">
        <v>0.74934900000000004</v>
      </c>
      <c r="AA96" s="1">
        <f t="shared" si="1"/>
        <v>0.89490700000000001</v>
      </c>
    </row>
    <row r="97" spans="1:27" x14ac:dyDescent="0.2">
      <c r="A97">
        <v>9.6999999999999993</v>
      </c>
      <c r="B97" t="s">
        <v>0</v>
      </c>
      <c r="C97">
        <v>0.125</v>
      </c>
      <c r="D97" t="s">
        <v>1</v>
      </c>
      <c r="E97">
        <v>0.76900000000000002</v>
      </c>
      <c r="G97">
        <v>9.6999999999999993</v>
      </c>
      <c r="H97">
        <v>0.125</v>
      </c>
      <c r="I97">
        <v>0.76900000000000002</v>
      </c>
      <c r="K97">
        <v>9.6999999999999993</v>
      </c>
      <c r="L97" t="s">
        <v>0</v>
      </c>
      <c r="M97">
        <v>0.13300000000000001</v>
      </c>
      <c r="N97" t="s">
        <v>1</v>
      </c>
      <c r="O97">
        <v>0.753</v>
      </c>
      <c r="Q97">
        <v>9.6999999999999993</v>
      </c>
      <c r="R97" t="s">
        <v>0</v>
      </c>
      <c r="S97">
        <v>0.126</v>
      </c>
      <c r="T97" t="s">
        <v>1</v>
      </c>
      <c r="U97">
        <v>0.76600000000000001</v>
      </c>
      <c r="X97">
        <v>9.6</v>
      </c>
      <c r="Y97" s="1">
        <v>0.148426</v>
      </c>
      <c r="Z97" s="1">
        <v>0.74740300000000004</v>
      </c>
      <c r="AA97" s="1">
        <f t="shared" si="1"/>
        <v>0.89582899999999999</v>
      </c>
    </row>
    <row r="98" spans="1:27" x14ac:dyDescent="0.2">
      <c r="A98">
        <v>9.8000000000000007</v>
      </c>
      <c r="B98" t="s">
        <v>0</v>
      </c>
      <c r="C98">
        <v>0.16200000000000001</v>
      </c>
      <c r="D98" t="s">
        <v>1</v>
      </c>
      <c r="E98">
        <v>0.748</v>
      </c>
      <c r="G98">
        <v>9.8000000000000007</v>
      </c>
      <c r="H98">
        <v>0.16200000000000001</v>
      </c>
      <c r="I98">
        <v>0.748</v>
      </c>
      <c r="K98">
        <v>9.8000000000000007</v>
      </c>
      <c r="L98" t="s">
        <v>0</v>
      </c>
      <c r="M98">
        <v>0.14799999999999999</v>
      </c>
      <c r="N98" t="s">
        <v>1</v>
      </c>
      <c r="O98">
        <v>0.752</v>
      </c>
      <c r="Q98">
        <v>9.8000000000000007</v>
      </c>
      <c r="R98" t="s">
        <v>0</v>
      </c>
      <c r="S98">
        <v>0.13100000000000001</v>
      </c>
      <c r="T98" t="s">
        <v>1</v>
      </c>
      <c r="U98">
        <v>0.753</v>
      </c>
      <c r="X98">
        <v>9.6999999999999993</v>
      </c>
      <c r="Y98" s="1">
        <v>0.154247</v>
      </c>
      <c r="Z98" s="1">
        <v>0.74294800000000005</v>
      </c>
      <c r="AA98" s="1">
        <f t="shared" si="1"/>
        <v>0.89719500000000008</v>
      </c>
    </row>
    <row r="99" spans="1:27" x14ac:dyDescent="0.2">
      <c r="A99">
        <v>9.9</v>
      </c>
      <c r="B99" t="s">
        <v>0</v>
      </c>
      <c r="C99">
        <v>0.154</v>
      </c>
      <c r="D99" t="s">
        <v>1</v>
      </c>
      <c r="E99">
        <v>0.74199999999999999</v>
      </c>
      <c r="G99">
        <v>9.9</v>
      </c>
      <c r="H99">
        <v>0.154</v>
      </c>
      <c r="I99">
        <v>0.74199999999999999</v>
      </c>
      <c r="K99">
        <v>9.9</v>
      </c>
      <c r="L99" t="s">
        <v>0</v>
      </c>
      <c r="M99">
        <v>0.105</v>
      </c>
      <c r="N99" t="s">
        <v>1</v>
      </c>
      <c r="O99">
        <v>0.78400000000000003</v>
      </c>
      <c r="Q99">
        <v>9.9</v>
      </c>
      <c r="R99" t="s">
        <v>0</v>
      </c>
      <c r="S99">
        <v>0.188</v>
      </c>
      <c r="T99" t="s">
        <v>1</v>
      </c>
      <c r="U99">
        <v>0.72099999999999997</v>
      </c>
      <c r="X99">
        <v>9.8000000000000007</v>
      </c>
      <c r="Y99" s="1">
        <v>0.15781200000000001</v>
      </c>
      <c r="Z99" s="1">
        <v>0.74080199999999996</v>
      </c>
      <c r="AA99" s="1">
        <f t="shared" si="1"/>
        <v>0.89861400000000002</v>
      </c>
    </row>
    <row r="100" spans="1:27" x14ac:dyDescent="0.2">
      <c r="A100">
        <v>10</v>
      </c>
      <c r="B100" t="s">
        <v>0</v>
      </c>
      <c r="C100">
        <v>0.156</v>
      </c>
      <c r="D100" t="s">
        <v>1</v>
      </c>
      <c r="E100">
        <v>0.73899999999999999</v>
      </c>
      <c r="G100">
        <v>10</v>
      </c>
      <c r="H100">
        <v>0.156</v>
      </c>
      <c r="I100">
        <v>0.73899999999999999</v>
      </c>
      <c r="K100">
        <v>10</v>
      </c>
      <c r="L100" t="s">
        <v>0</v>
      </c>
      <c r="M100">
        <v>0.20100000000000001</v>
      </c>
      <c r="N100" t="s">
        <v>1</v>
      </c>
      <c r="O100">
        <v>0.71</v>
      </c>
      <c r="Q100">
        <v>10</v>
      </c>
      <c r="R100" t="s">
        <v>0</v>
      </c>
      <c r="S100">
        <v>0.114</v>
      </c>
      <c r="T100" t="s">
        <v>1</v>
      </c>
      <c r="U100">
        <v>0.77800000000000002</v>
      </c>
      <c r="X100">
        <v>9.9</v>
      </c>
      <c r="Y100" s="1">
        <v>0.160246</v>
      </c>
      <c r="Z100" s="1">
        <v>0.73868400000000001</v>
      </c>
      <c r="AA100" s="1">
        <f t="shared" si="1"/>
        <v>0.89893000000000001</v>
      </c>
    </row>
    <row r="101" spans="1:27" x14ac:dyDescent="0.2">
      <c r="A101">
        <v>10.1</v>
      </c>
      <c r="B101" t="s">
        <v>0</v>
      </c>
      <c r="C101">
        <v>0.13200000000000001</v>
      </c>
      <c r="D101" t="s">
        <v>1</v>
      </c>
      <c r="E101">
        <v>0.76300000000000001</v>
      </c>
      <c r="G101">
        <v>10.1</v>
      </c>
      <c r="H101">
        <v>0.13200000000000001</v>
      </c>
      <c r="I101">
        <v>0.76300000000000001</v>
      </c>
      <c r="K101">
        <v>10.1</v>
      </c>
      <c r="L101" t="s">
        <v>0</v>
      </c>
      <c r="M101">
        <v>0.19900000000000001</v>
      </c>
      <c r="N101" t="s">
        <v>1</v>
      </c>
      <c r="O101">
        <v>0.71599999999999997</v>
      </c>
      <c r="Q101">
        <v>10.1</v>
      </c>
      <c r="R101" t="s">
        <v>0</v>
      </c>
      <c r="S101">
        <v>0.16</v>
      </c>
      <c r="T101" t="s">
        <v>1</v>
      </c>
      <c r="U101">
        <v>0.74</v>
      </c>
      <c r="X101">
        <v>10</v>
      </c>
      <c r="Y101" s="1">
        <v>0.167019</v>
      </c>
      <c r="Z101" s="1">
        <v>0.73394499999999996</v>
      </c>
      <c r="AA101" s="1">
        <f t="shared" si="1"/>
        <v>0.90096399999999999</v>
      </c>
    </row>
    <row r="102" spans="1:27" x14ac:dyDescent="0.2">
      <c r="A102">
        <v>10.199999999999999</v>
      </c>
      <c r="B102" t="s">
        <v>0</v>
      </c>
      <c r="C102">
        <v>0.17899999999999999</v>
      </c>
      <c r="D102" t="s">
        <v>1</v>
      </c>
      <c r="E102">
        <v>0.71599999999999997</v>
      </c>
      <c r="G102">
        <v>10.199999999999999</v>
      </c>
      <c r="H102">
        <v>0.17899999999999999</v>
      </c>
      <c r="I102">
        <v>0.71599999999999997</v>
      </c>
      <c r="K102">
        <v>10.199999999999999</v>
      </c>
      <c r="L102" t="s">
        <v>0</v>
      </c>
      <c r="M102">
        <v>0.154</v>
      </c>
      <c r="N102" t="s">
        <v>1</v>
      </c>
      <c r="O102">
        <v>0.75800000000000001</v>
      </c>
      <c r="Q102">
        <v>10.199999999999999</v>
      </c>
      <c r="R102" t="s">
        <v>0</v>
      </c>
      <c r="S102">
        <v>0.192</v>
      </c>
      <c r="T102" t="s">
        <v>1</v>
      </c>
      <c r="U102">
        <v>0.70399999999999996</v>
      </c>
      <c r="X102">
        <v>10.1</v>
      </c>
      <c r="Y102" s="1">
        <v>0.17085600000000001</v>
      </c>
      <c r="Z102" s="1">
        <v>0.73046100000000003</v>
      </c>
      <c r="AA102" s="1">
        <f t="shared" si="1"/>
        <v>0.90131700000000003</v>
      </c>
    </row>
    <row r="103" spans="1:27" x14ac:dyDescent="0.2">
      <c r="A103">
        <v>10.3</v>
      </c>
      <c r="B103" t="s">
        <v>0</v>
      </c>
      <c r="C103">
        <v>0.155</v>
      </c>
      <c r="D103" t="s">
        <v>1</v>
      </c>
      <c r="E103">
        <v>0.751</v>
      </c>
      <c r="G103">
        <v>10.3</v>
      </c>
      <c r="H103">
        <v>0.155</v>
      </c>
      <c r="I103">
        <v>0.751</v>
      </c>
      <c r="K103">
        <v>10.3</v>
      </c>
      <c r="L103" t="s">
        <v>0</v>
      </c>
      <c r="M103">
        <v>0.20699999999999999</v>
      </c>
      <c r="N103" t="s">
        <v>1</v>
      </c>
      <c r="O103">
        <v>0.69299999999999995</v>
      </c>
      <c r="Q103">
        <v>10.3</v>
      </c>
      <c r="R103" t="s">
        <v>0</v>
      </c>
      <c r="S103">
        <v>0.16700000000000001</v>
      </c>
      <c r="T103" t="s">
        <v>1</v>
      </c>
      <c r="U103">
        <v>0.73799999999999999</v>
      </c>
      <c r="X103">
        <v>10.199999999999999</v>
      </c>
      <c r="Y103" s="1">
        <v>0.17361699999999999</v>
      </c>
      <c r="Z103" s="1">
        <v>0.72889400000000004</v>
      </c>
      <c r="AA103" s="1">
        <f t="shared" si="1"/>
        <v>0.90251100000000006</v>
      </c>
    </row>
    <row r="104" spans="1:27" x14ac:dyDescent="0.2">
      <c r="A104">
        <v>10.4</v>
      </c>
      <c r="B104" t="s">
        <v>0</v>
      </c>
      <c r="C104">
        <v>0.16600000000000001</v>
      </c>
      <c r="D104" t="s">
        <v>1</v>
      </c>
      <c r="E104">
        <v>0.751</v>
      </c>
      <c r="G104">
        <v>10.4</v>
      </c>
      <c r="H104">
        <v>0.16600000000000001</v>
      </c>
      <c r="I104">
        <v>0.751</v>
      </c>
      <c r="K104">
        <v>10.4</v>
      </c>
      <c r="L104" t="s">
        <v>0</v>
      </c>
      <c r="M104">
        <v>0.13500000000000001</v>
      </c>
      <c r="N104" t="s">
        <v>1</v>
      </c>
      <c r="O104">
        <v>0.76800000000000002</v>
      </c>
      <c r="Q104">
        <v>10.4</v>
      </c>
      <c r="R104" t="s">
        <v>0</v>
      </c>
      <c r="S104">
        <v>0.16900000000000001</v>
      </c>
      <c r="T104" t="s">
        <v>1</v>
      </c>
      <c r="U104">
        <v>0.747</v>
      </c>
      <c r="X104">
        <v>10.3</v>
      </c>
      <c r="Y104" s="1">
        <v>0.17704</v>
      </c>
      <c r="Z104" s="1">
        <v>0.72594400000000003</v>
      </c>
      <c r="AA104" s="1">
        <f t="shared" si="1"/>
        <v>0.90298400000000001</v>
      </c>
    </row>
    <row r="105" spans="1:27" x14ac:dyDescent="0.2">
      <c r="A105">
        <v>10.5</v>
      </c>
      <c r="B105" t="s">
        <v>0</v>
      </c>
      <c r="C105">
        <v>0.16700000000000001</v>
      </c>
      <c r="D105" t="s">
        <v>1</v>
      </c>
      <c r="E105">
        <v>0.71399999999999997</v>
      </c>
      <c r="G105">
        <v>10.5</v>
      </c>
      <c r="H105">
        <v>0.16700000000000001</v>
      </c>
      <c r="I105">
        <v>0.71399999999999997</v>
      </c>
      <c r="K105">
        <v>10.5</v>
      </c>
      <c r="L105" t="s">
        <v>0</v>
      </c>
      <c r="M105">
        <v>0.22</v>
      </c>
      <c r="N105" t="s">
        <v>1</v>
      </c>
      <c r="O105">
        <v>0.70099999999999996</v>
      </c>
      <c r="Q105">
        <v>10.5</v>
      </c>
      <c r="R105" t="s">
        <v>0</v>
      </c>
      <c r="S105">
        <v>0.248</v>
      </c>
      <c r="T105" t="s">
        <v>1</v>
      </c>
      <c r="U105">
        <v>0.66800000000000004</v>
      </c>
      <c r="X105">
        <v>10.4</v>
      </c>
      <c r="Y105" s="1">
        <v>0.18187400000000001</v>
      </c>
      <c r="Z105" s="1">
        <v>0.72282400000000002</v>
      </c>
      <c r="AA105" s="1">
        <f t="shared" si="1"/>
        <v>0.904698</v>
      </c>
    </row>
    <row r="106" spans="1:27" x14ac:dyDescent="0.2">
      <c r="A106">
        <v>10.6</v>
      </c>
      <c r="B106" t="s">
        <v>0</v>
      </c>
      <c r="C106">
        <v>0.21099999999999999</v>
      </c>
      <c r="D106" t="s">
        <v>1</v>
      </c>
      <c r="E106">
        <v>0.68799999999999994</v>
      </c>
      <c r="G106">
        <v>10.6</v>
      </c>
      <c r="H106">
        <v>0.21099999999999999</v>
      </c>
      <c r="I106">
        <v>0.68799999999999994</v>
      </c>
      <c r="K106">
        <v>10.6</v>
      </c>
      <c r="L106" t="s">
        <v>0</v>
      </c>
      <c r="M106">
        <v>0.158</v>
      </c>
      <c r="N106" t="s">
        <v>1</v>
      </c>
      <c r="O106">
        <v>0.72599999999999998</v>
      </c>
      <c r="Q106">
        <v>10.6</v>
      </c>
      <c r="R106" t="s">
        <v>0</v>
      </c>
      <c r="S106">
        <v>0.223</v>
      </c>
      <c r="T106" t="s">
        <v>1</v>
      </c>
      <c r="U106">
        <v>0.69699999999999995</v>
      </c>
      <c r="X106">
        <v>10.5</v>
      </c>
      <c r="Y106" s="1">
        <v>0.18513299999999999</v>
      </c>
      <c r="Z106" s="1">
        <v>0.72049799999999997</v>
      </c>
      <c r="AA106" s="1">
        <f t="shared" si="1"/>
        <v>0.90563099999999996</v>
      </c>
    </row>
    <row r="107" spans="1:27" x14ac:dyDescent="0.2">
      <c r="A107">
        <v>10.7</v>
      </c>
      <c r="B107" t="s">
        <v>0</v>
      </c>
      <c r="C107">
        <v>0.192</v>
      </c>
      <c r="D107" t="s">
        <v>1</v>
      </c>
      <c r="E107">
        <v>0.71799999999999997</v>
      </c>
      <c r="G107">
        <v>10.7</v>
      </c>
      <c r="H107">
        <v>0.192</v>
      </c>
      <c r="I107">
        <v>0.71799999999999997</v>
      </c>
      <c r="K107">
        <v>10.7</v>
      </c>
      <c r="L107" t="s">
        <v>0</v>
      </c>
      <c r="M107">
        <v>0.17899999999999999</v>
      </c>
      <c r="N107" t="s">
        <v>1</v>
      </c>
      <c r="O107">
        <v>0.72699999999999998</v>
      </c>
      <c r="Q107">
        <v>10.7</v>
      </c>
      <c r="R107" t="s">
        <v>0</v>
      </c>
      <c r="S107">
        <v>0.16600000000000001</v>
      </c>
      <c r="T107" t="s">
        <v>1</v>
      </c>
      <c r="U107">
        <v>0.72099999999999997</v>
      </c>
      <c r="X107">
        <v>10.6</v>
      </c>
      <c r="Y107" s="1">
        <v>0.18923499999999999</v>
      </c>
      <c r="Z107" s="1">
        <v>0.71673200000000004</v>
      </c>
      <c r="AA107" s="1">
        <f t="shared" si="1"/>
        <v>0.90596699999999997</v>
      </c>
    </row>
    <row r="108" spans="1:27" x14ac:dyDescent="0.2">
      <c r="A108">
        <v>10.8</v>
      </c>
      <c r="B108" t="s">
        <v>0</v>
      </c>
      <c r="C108">
        <v>0.193</v>
      </c>
      <c r="D108" t="s">
        <v>1</v>
      </c>
      <c r="E108">
        <v>0.71499999999999997</v>
      </c>
      <c r="G108">
        <v>10.8</v>
      </c>
      <c r="H108">
        <v>0.193</v>
      </c>
      <c r="I108">
        <v>0.71499999999999997</v>
      </c>
      <c r="K108">
        <v>10.8</v>
      </c>
      <c r="L108" t="s">
        <v>0</v>
      </c>
      <c r="M108">
        <v>0.186</v>
      </c>
      <c r="N108" t="s">
        <v>1</v>
      </c>
      <c r="O108">
        <v>0.70799999999999996</v>
      </c>
      <c r="Q108">
        <v>10.8</v>
      </c>
      <c r="R108" t="s">
        <v>0</v>
      </c>
      <c r="S108">
        <v>0.221</v>
      </c>
      <c r="T108" t="s">
        <v>1</v>
      </c>
      <c r="U108">
        <v>0.67900000000000005</v>
      </c>
      <c r="X108">
        <v>10.7</v>
      </c>
      <c r="Y108" s="1">
        <v>0.19314300000000001</v>
      </c>
      <c r="Z108" s="1">
        <v>0.71375</v>
      </c>
      <c r="AA108" s="1">
        <f t="shared" si="1"/>
        <v>0.90689299999999995</v>
      </c>
    </row>
    <row r="109" spans="1:27" x14ac:dyDescent="0.2">
      <c r="A109">
        <v>10.9</v>
      </c>
      <c r="B109" t="s">
        <v>0</v>
      </c>
      <c r="C109">
        <v>0.187</v>
      </c>
      <c r="D109" t="s">
        <v>1</v>
      </c>
      <c r="E109">
        <v>0.72099999999999997</v>
      </c>
      <c r="G109">
        <v>10.9</v>
      </c>
      <c r="H109">
        <v>0.187</v>
      </c>
      <c r="I109">
        <v>0.72099999999999997</v>
      </c>
      <c r="K109">
        <v>10.9</v>
      </c>
      <c r="L109" t="s">
        <v>0</v>
      </c>
      <c r="M109">
        <v>0.22900000000000001</v>
      </c>
      <c r="N109" t="s">
        <v>1</v>
      </c>
      <c r="O109">
        <v>0.67100000000000004</v>
      </c>
      <c r="Q109">
        <v>10.9</v>
      </c>
      <c r="R109" t="s">
        <v>0</v>
      </c>
      <c r="S109">
        <v>0.2</v>
      </c>
      <c r="T109" t="s">
        <v>1</v>
      </c>
      <c r="U109">
        <v>0.71</v>
      </c>
      <c r="X109">
        <v>10.8</v>
      </c>
      <c r="Y109" s="1">
        <v>0.195881</v>
      </c>
      <c r="Z109" s="1">
        <v>0.71195900000000001</v>
      </c>
      <c r="AA109" s="1">
        <f t="shared" si="1"/>
        <v>0.90783999999999998</v>
      </c>
    </row>
    <row r="110" spans="1:27" x14ac:dyDescent="0.2">
      <c r="A110">
        <v>11</v>
      </c>
      <c r="B110" t="s">
        <v>0</v>
      </c>
      <c r="C110">
        <v>0.22</v>
      </c>
      <c r="D110" t="s">
        <v>1</v>
      </c>
      <c r="E110">
        <v>0.7</v>
      </c>
      <c r="G110">
        <v>11</v>
      </c>
      <c r="H110">
        <v>0.22</v>
      </c>
      <c r="I110">
        <v>0.7</v>
      </c>
      <c r="K110">
        <v>11</v>
      </c>
      <c r="L110" t="s">
        <v>0</v>
      </c>
      <c r="M110">
        <v>0.219</v>
      </c>
      <c r="N110" t="s">
        <v>1</v>
      </c>
      <c r="O110">
        <v>0.70299999999999996</v>
      </c>
      <c r="Q110">
        <v>11</v>
      </c>
      <c r="R110" t="s">
        <v>0</v>
      </c>
      <c r="S110">
        <v>0.20200000000000001</v>
      </c>
      <c r="T110" t="s">
        <v>1</v>
      </c>
      <c r="U110">
        <v>0.70099999999999996</v>
      </c>
      <c r="X110">
        <v>10.9</v>
      </c>
      <c r="Y110" s="1">
        <v>0.198578</v>
      </c>
      <c r="Z110" s="1">
        <v>0.70977699999999999</v>
      </c>
      <c r="AA110" s="1">
        <f t="shared" si="1"/>
        <v>0.90835500000000002</v>
      </c>
    </row>
    <row r="111" spans="1:27" x14ac:dyDescent="0.2">
      <c r="A111">
        <v>11.1</v>
      </c>
      <c r="B111" t="s">
        <v>0</v>
      </c>
      <c r="C111">
        <v>0.17499999999999999</v>
      </c>
      <c r="D111" t="s">
        <v>1</v>
      </c>
      <c r="E111">
        <v>0.73099999999999998</v>
      </c>
      <c r="G111">
        <v>11.1</v>
      </c>
      <c r="H111">
        <v>0.17499999999999999</v>
      </c>
      <c r="I111">
        <v>0.73099999999999998</v>
      </c>
      <c r="K111">
        <v>11.1</v>
      </c>
      <c r="L111" t="s">
        <v>0</v>
      </c>
      <c r="M111">
        <v>0.219</v>
      </c>
      <c r="N111" t="s">
        <v>1</v>
      </c>
      <c r="O111">
        <v>0.68600000000000005</v>
      </c>
      <c r="Q111">
        <v>11.1</v>
      </c>
      <c r="R111" t="s">
        <v>0</v>
      </c>
      <c r="S111">
        <v>0.19500000000000001</v>
      </c>
      <c r="T111" t="s">
        <v>1</v>
      </c>
      <c r="U111">
        <v>0.70299999999999996</v>
      </c>
      <c r="X111">
        <v>11</v>
      </c>
      <c r="Y111" s="1">
        <v>0.203346</v>
      </c>
      <c r="Z111" s="1">
        <v>0.706426</v>
      </c>
      <c r="AA111" s="1">
        <f t="shared" si="1"/>
        <v>0.90977200000000003</v>
      </c>
    </row>
    <row r="112" spans="1:27" x14ac:dyDescent="0.2">
      <c r="A112">
        <v>11.2</v>
      </c>
      <c r="B112" t="s">
        <v>0</v>
      </c>
      <c r="C112">
        <v>0.25</v>
      </c>
      <c r="D112" t="s">
        <v>1</v>
      </c>
      <c r="E112">
        <v>0.66700000000000004</v>
      </c>
      <c r="G112">
        <v>11.2</v>
      </c>
      <c r="H112">
        <v>0.25</v>
      </c>
      <c r="I112">
        <v>0.66700000000000004</v>
      </c>
      <c r="K112">
        <v>11.2</v>
      </c>
      <c r="L112" t="s">
        <v>0</v>
      </c>
      <c r="M112">
        <v>0.217</v>
      </c>
      <c r="N112" t="s">
        <v>1</v>
      </c>
      <c r="O112">
        <v>0.69899999999999995</v>
      </c>
      <c r="Q112">
        <v>11.2</v>
      </c>
      <c r="R112" t="s">
        <v>0</v>
      </c>
      <c r="S112">
        <v>0.23</v>
      </c>
      <c r="T112" t="s">
        <v>1</v>
      </c>
      <c r="U112">
        <v>0.68400000000000005</v>
      </c>
      <c r="X112">
        <v>11.1</v>
      </c>
      <c r="Y112" s="1">
        <v>0.208403</v>
      </c>
      <c r="Z112" s="1">
        <v>0.70205600000000001</v>
      </c>
      <c r="AA112" s="1">
        <f t="shared" si="1"/>
        <v>0.91045900000000002</v>
      </c>
    </row>
    <row r="113" spans="1:27" x14ac:dyDescent="0.2">
      <c r="A113">
        <v>11.3</v>
      </c>
      <c r="B113" t="s">
        <v>0</v>
      </c>
      <c r="C113">
        <v>0.222</v>
      </c>
      <c r="D113" t="s">
        <v>1</v>
      </c>
      <c r="E113">
        <v>0.67800000000000005</v>
      </c>
      <c r="G113">
        <v>11.3</v>
      </c>
      <c r="H113">
        <v>0.222</v>
      </c>
      <c r="I113">
        <v>0.67800000000000005</v>
      </c>
      <c r="K113">
        <v>11.3</v>
      </c>
      <c r="L113" t="s">
        <v>0</v>
      </c>
      <c r="M113">
        <v>0.20899999999999999</v>
      </c>
      <c r="N113" t="s">
        <v>1</v>
      </c>
      <c r="O113">
        <v>0.69499999999999995</v>
      </c>
      <c r="Q113">
        <v>11.3</v>
      </c>
      <c r="R113" t="s">
        <v>0</v>
      </c>
      <c r="S113">
        <v>0.191</v>
      </c>
      <c r="T113" t="s">
        <v>1</v>
      </c>
      <c r="U113">
        <v>0.70699999999999996</v>
      </c>
      <c r="X113">
        <v>11.2</v>
      </c>
      <c r="Y113" s="1">
        <v>0.21029300000000001</v>
      </c>
      <c r="Z113" s="1">
        <v>0.70016900000000004</v>
      </c>
      <c r="AA113" s="1">
        <f t="shared" si="1"/>
        <v>0.9104620000000001</v>
      </c>
    </row>
    <row r="114" spans="1:27" x14ac:dyDescent="0.2">
      <c r="A114">
        <v>11.4</v>
      </c>
      <c r="B114" t="s">
        <v>0</v>
      </c>
      <c r="C114">
        <v>0.185</v>
      </c>
      <c r="D114" t="s">
        <v>1</v>
      </c>
      <c r="E114">
        <v>0.71499999999999997</v>
      </c>
      <c r="G114">
        <v>11.4</v>
      </c>
      <c r="H114">
        <v>0.185</v>
      </c>
      <c r="I114">
        <v>0.71499999999999997</v>
      </c>
      <c r="K114">
        <v>11.4</v>
      </c>
      <c r="L114" t="s">
        <v>0</v>
      </c>
      <c r="M114">
        <v>0.23200000000000001</v>
      </c>
      <c r="N114" t="s">
        <v>1</v>
      </c>
      <c r="O114">
        <v>0.68899999999999995</v>
      </c>
      <c r="Q114">
        <v>11.4</v>
      </c>
      <c r="R114" t="s">
        <v>0</v>
      </c>
      <c r="S114">
        <v>0.22</v>
      </c>
      <c r="T114" t="s">
        <v>1</v>
      </c>
      <c r="U114">
        <v>0.67900000000000005</v>
      </c>
      <c r="X114">
        <v>11.3</v>
      </c>
      <c r="Y114" s="1">
        <v>0.21398200000000001</v>
      </c>
      <c r="Z114" s="1">
        <v>0.69784800000000002</v>
      </c>
      <c r="AA114" s="1">
        <f t="shared" si="1"/>
        <v>0.91183000000000003</v>
      </c>
    </row>
    <row r="115" spans="1:27" x14ac:dyDescent="0.2">
      <c r="A115">
        <v>11.5</v>
      </c>
      <c r="B115" t="s">
        <v>0</v>
      </c>
      <c r="C115">
        <v>0.23499999999999999</v>
      </c>
      <c r="D115" t="s">
        <v>1</v>
      </c>
      <c r="E115">
        <v>0.67400000000000004</v>
      </c>
      <c r="G115">
        <v>11.5</v>
      </c>
      <c r="H115">
        <v>0.23499999999999999</v>
      </c>
      <c r="I115">
        <v>0.67400000000000004</v>
      </c>
      <c r="K115">
        <v>11.5</v>
      </c>
      <c r="L115" t="s">
        <v>0</v>
      </c>
      <c r="M115">
        <v>0.245</v>
      </c>
      <c r="N115" t="s">
        <v>1</v>
      </c>
      <c r="O115">
        <v>0.67200000000000004</v>
      </c>
      <c r="Q115">
        <v>11.5</v>
      </c>
      <c r="R115" t="s">
        <v>0</v>
      </c>
      <c r="S115">
        <v>0.22</v>
      </c>
      <c r="T115" t="s">
        <v>1</v>
      </c>
      <c r="U115">
        <v>0.68300000000000005</v>
      </c>
      <c r="X115">
        <v>11.4</v>
      </c>
      <c r="Y115" s="1">
        <v>0.218364</v>
      </c>
      <c r="Z115" s="1">
        <v>0.69400399999999995</v>
      </c>
      <c r="AA115" s="1">
        <f t="shared" si="1"/>
        <v>0.91236799999999996</v>
      </c>
    </row>
    <row r="116" spans="1:27" x14ac:dyDescent="0.2">
      <c r="A116">
        <v>11.6</v>
      </c>
      <c r="B116" t="s">
        <v>0</v>
      </c>
      <c r="C116">
        <v>0.23899999999999999</v>
      </c>
      <c r="D116" t="s">
        <v>1</v>
      </c>
      <c r="E116">
        <v>0.69099999999999995</v>
      </c>
      <c r="G116">
        <v>11.6</v>
      </c>
      <c r="H116">
        <v>0.23899999999999999</v>
      </c>
      <c r="I116">
        <v>0.69099999999999995</v>
      </c>
      <c r="K116">
        <v>11.6</v>
      </c>
      <c r="L116" t="s">
        <v>0</v>
      </c>
      <c r="M116">
        <v>0.221</v>
      </c>
      <c r="N116" t="s">
        <v>1</v>
      </c>
      <c r="O116">
        <v>0.69799999999999995</v>
      </c>
      <c r="Q116">
        <v>11.6</v>
      </c>
      <c r="R116" t="s">
        <v>0</v>
      </c>
      <c r="S116">
        <v>0.22700000000000001</v>
      </c>
      <c r="T116" t="s">
        <v>1</v>
      </c>
      <c r="U116">
        <v>0.69099999999999995</v>
      </c>
      <c r="X116">
        <v>11.5</v>
      </c>
      <c r="Y116" s="1">
        <v>0.22107099999999999</v>
      </c>
      <c r="Z116" s="1">
        <v>0.69162800000000002</v>
      </c>
      <c r="AA116" s="1">
        <f t="shared" si="1"/>
        <v>0.91269900000000004</v>
      </c>
    </row>
    <row r="117" spans="1:27" x14ac:dyDescent="0.2">
      <c r="A117">
        <v>11.7</v>
      </c>
      <c r="B117" t="s">
        <v>0</v>
      </c>
      <c r="C117">
        <v>0.24399999999999999</v>
      </c>
      <c r="D117" t="s">
        <v>1</v>
      </c>
      <c r="E117">
        <v>0.67200000000000004</v>
      </c>
      <c r="G117">
        <v>11.7</v>
      </c>
      <c r="H117">
        <v>0.24399999999999999</v>
      </c>
      <c r="I117">
        <v>0.67200000000000004</v>
      </c>
      <c r="K117">
        <v>11.7</v>
      </c>
      <c r="L117" t="s">
        <v>0</v>
      </c>
      <c r="M117">
        <v>0.23599999999999999</v>
      </c>
      <c r="N117" t="s">
        <v>1</v>
      </c>
      <c r="O117">
        <v>0.69099999999999995</v>
      </c>
      <c r="Q117">
        <v>11.7</v>
      </c>
      <c r="R117" t="s">
        <v>0</v>
      </c>
      <c r="S117">
        <v>0.218</v>
      </c>
      <c r="T117" t="s">
        <v>1</v>
      </c>
      <c r="U117">
        <v>0.70199999999999996</v>
      </c>
      <c r="X117">
        <v>11.6</v>
      </c>
      <c r="Y117" s="1">
        <v>0.22592499999999999</v>
      </c>
      <c r="Z117" s="1">
        <v>0.68767800000000001</v>
      </c>
      <c r="AA117" s="1">
        <f t="shared" si="1"/>
        <v>0.91360299999999994</v>
      </c>
    </row>
    <row r="118" spans="1:27" x14ac:dyDescent="0.2">
      <c r="A118">
        <v>11.8</v>
      </c>
      <c r="B118" t="s">
        <v>0</v>
      </c>
      <c r="C118">
        <v>0.26100000000000001</v>
      </c>
      <c r="D118" t="s">
        <v>1</v>
      </c>
      <c r="E118">
        <v>0.66300000000000003</v>
      </c>
      <c r="G118">
        <v>11.8</v>
      </c>
      <c r="H118">
        <v>0.26100000000000001</v>
      </c>
      <c r="I118">
        <v>0.66300000000000003</v>
      </c>
      <c r="K118">
        <v>11.8</v>
      </c>
      <c r="L118" t="s">
        <v>0</v>
      </c>
      <c r="M118">
        <v>0.17899999999999999</v>
      </c>
      <c r="N118" t="s">
        <v>1</v>
      </c>
      <c r="O118">
        <v>0.72899999999999998</v>
      </c>
      <c r="Q118">
        <v>11.8</v>
      </c>
      <c r="R118" t="s">
        <v>0</v>
      </c>
      <c r="S118">
        <v>0.22700000000000001</v>
      </c>
      <c r="T118" t="s">
        <v>1</v>
      </c>
      <c r="U118">
        <v>0.69199999999999995</v>
      </c>
      <c r="X118">
        <v>11.7</v>
      </c>
      <c r="Y118" s="1">
        <v>0.23013900000000001</v>
      </c>
      <c r="Z118" s="1">
        <v>0.68438100000000002</v>
      </c>
      <c r="AA118" s="1">
        <f t="shared" si="1"/>
        <v>0.91452</v>
      </c>
    </row>
    <row r="119" spans="1:27" x14ac:dyDescent="0.2">
      <c r="A119">
        <v>11.9</v>
      </c>
      <c r="B119" t="s">
        <v>0</v>
      </c>
      <c r="C119">
        <v>0.249</v>
      </c>
      <c r="D119" t="s">
        <v>1</v>
      </c>
      <c r="E119">
        <v>0.66100000000000003</v>
      </c>
      <c r="G119">
        <v>11.9</v>
      </c>
      <c r="H119">
        <v>0.249</v>
      </c>
      <c r="I119">
        <v>0.66100000000000003</v>
      </c>
      <c r="K119">
        <v>11.9</v>
      </c>
      <c r="L119" t="s">
        <v>0</v>
      </c>
      <c r="M119">
        <v>0.23799999999999999</v>
      </c>
      <c r="N119" t="s">
        <v>1</v>
      </c>
      <c r="O119">
        <v>0.67600000000000005</v>
      </c>
      <c r="Q119">
        <v>11.9</v>
      </c>
      <c r="R119" t="s">
        <v>0</v>
      </c>
      <c r="S119">
        <v>0.22800000000000001</v>
      </c>
      <c r="T119" t="s">
        <v>1</v>
      </c>
      <c r="U119">
        <v>0.68799999999999994</v>
      </c>
      <c r="X119">
        <v>11.8</v>
      </c>
      <c r="Y119" s="1">
        <v>0.23375099999999999</v>
      </c>
      <c r="Z119" s="1">
        <v>0.68191400000000002</v>
      </c>
      <c r="AA119" s="1">
        <f t="shared" si="1"/>
        <v>0.91566499999999995</v>
      </c>
    </row>
    <row r="120" spans="1:27" x14ac:dyDescent="0.2">
      <c r="A120">
        <v>12</v>
      </c>
      <c r="B120" t="s">
        <v>0</v>
      </c>
      <c r="C120">
        <v>0.188</v>
      </c>
      <c r="D120" t="s">
        <v>1</v>
      </c>
      <c r="E120">
        <v>0.72199999999999998</v>
      </c>
      <c r="G120">
        <v>12</v>
      </c>
      <c r="H120">
        <v>0.188</v>
      </c>
      <c r="I120">
        <v>0.72199999999999998</v>
      </c>
      <c r="K120">
        <v>12</v>
      </c>
      <c r="L120" t="s">
        <v>0</v>
      </c>
      <c r="M120">
        <v>0.25600000000000001</v>
      </c>
      <c r="N120" t="s">
        <v>1</v>
      </c>
      <c r="O120">
        <v>0.66400000000000003</v>
      </c>
      <c r="Q120">
        <v>12</v>
      </c>
      <c r="R120" t="s">
        <v>0</v>
      </c>
      <c r="S120">
        <v>0.20699999999999999</v>
      </c>
      <c r="T120" t="s">
        <v>1</v>
      </c>
      <c r="U120">
        <v>0.69499999999999995</v>
      </c>
      <c r="X120">
        <v>11.9</v>
      </c>
      <c r="Y120" s="1">
        <v>0.235737</v>
      </c>
      <c r="Z120" s="1">
        <v>0.68009600000000003</v>
      </c>
      <c r="AA120" s="1">
        <f t="shared" si="1"/>
        <v>0.91583300000000001</v>
      </c>
    </row>
    <row r="121" spans="1:27" x14ac:dyDescent="0.2">
      <c r="A121">
        <v>12.1</v>
      </c>
      <c r="B121" t="s">
        <v>0</v>
      </c>
      <c r="C121">
        <v>0.25800000000000001</v>
      </c>
      <c r="D121" t="s">
        <v>1</v>
      </c>
      <c r="E121">
        <v>0.67</v>
      </c>
      <c r="G121">
        <v>12.1</v>
      </c>
      <c r="H121">
        <v>0.25800000000000001</v>
      </c>
      <c r="I121">
        <v>0.67</v>
      </c>
      <c r="K121">
        <v>12.1</v>
      </c>
      <c r="L121" t="s">
        <v>0</v>
      </c>
      <c r="M121">
        <v>0.26</v>
      </c>
      <c r="N121" t="s">
        <v>1</v>
      </c>
      <c r="O121">
        <v>0.66</v>
      </c>
      <c r="Q121">
        <v>12.1</v>
      </c>
      <c r="R121" t="s">
        <v>0</v>
      </c>
      <c r="S121">
        <v>0.20300000000000001</v>
      </c>
      <c r="T121" t="s">
        <v>1</v>
      </c>
      <c r="U121">
        <v>0.70699999999999996</v>
      </c>
      <c r="X121">
        <v>12</v>
      </c>
      <c r="Y121" s="1">
        <v>0.24310699999999999</v>
      </c>
      <c r="Z121" s="1">
        <v>0.67413400000000001</v>
      </c>
      <c r="AA121" s="1">
        <f t="shared" si="1"/>
        <v>0.91724099999999997</v>
      </c>
    </row>
    <row r="122" spans="1:27" x14ac:dyDescent="0.2">
      <c r="A122">
        <v>12.2</v>
      </c>
      <c r="B122" t="s">
        <v>0</v>
      </c>
      <c r="C122">
        <v>0.249</v>
      </c>
      <c r="D122" t="s">
        <v>1</v>
      </c>
      <c r="E122">
        <v>0.66600000000000004</v>
      </c>
      <c r="G122">
        <v>12.2</v>
      </c>
      <c r="H122">
        <v>0.249</v>
      </c>
      <c r="I122">
        <v>0.66600000000000004</v>
      </c>
      <c r="K122">
        <v>12.2</v>
      </c>
      <c r="L122" t="s">
        <v>0</v>
      </c>
      <c r="M122">
        <v>0.251</v>
      </c>
      <c r="N122" t="s">
        <v>1</v>
      </c>
      <c r="O122">
        <v>0.67300000000000004</v>
      </c>
      <c r="Q122">
        <v>12.2</v>
      </c>
      <c r="R122" t="s">
        <v>0</v>
      </c>
      <c r="S122">
        <v>0.22600000000000001</v>
      </c>
      <c r="T122" t="s">
        <v>1</v>
      </c>
      <c r="U122">
        <v>0.68200000000000005</v>
      </c>
      <c r="X122">
        <v>12.1</v>
      </c>
      <c r="Y122" s="1">
        <v>0.24476000000000001</v>
      </c>
      <c r="Z122" s="1">
        <v>0.67272100000000001</v>
      </c>
      <c r="AA122" s="1">
        <f t="shared" si="1"/>
        <v>0.91748099999999999</v>
      </c>
    </row>
    <row r="123" spans="1:27" x14ac:dyDescent="0.2">
      <c r="A123">
        <v>12.3</v>
      </c>
      <c r="B123" t="s">
        <v>0</v>
      </c>
      <c r="C123">
        <v>0.18099999999999999</v>
      </c>
      <c r="D123" t="s">
        <v>1</v>
      </c>
      <c r="E123">
        <v>0.72399999999999998</v>
      </c>
      <c r="G123">
        <v>12.3</v>
      </c>
      <c r="H123">
        <v>0.18099999999999999</v>
      </c>
      <c r="I123">
        <v>0.72399999999999998</v>
      </c>
      <c r="K123">
        <v>12.3</v>
      </c>
      <c r="L123" t="s">
        <v>0</v>
      </c>
      <c r="M123">
        <v>0.28399999999999997</v>
      </c>
      <c r="N123" t="s">
        <v>1</v>
      </c>
      <c r="O123">
        <v>0.64200000000000002</v>
      </c>
      <c r="Q123">
        <v>12.3</v>
      </c>
      <c r="R123" t="s">
        <v>0</v>
      </c>
      <c r="S123">
        <v>0.27700000000000002</v>
      </c>
      <c r="T123" t="s">
        <v>1</v>
      </c>
      <c r="U123">
        <v>0.64300000000000002</v>
      </c>
      <c r="X123">
        <v>12.2</v>
      </c>
      <c r="Y123" s="1">
        <v>0.24793100000000001</v>
      </c>
      <c r="Z123" s="1">
        <v>0.67012000000000005</v>
      </c>
      <c r="AA123" s="1">
        <f t="shared" si="1"/>
        <v>0.91805100000000006</v>
      </c>
    </row>
    <row r="124" spans="1:27" x14ac:dyDescent="0.2">
      <c r="A124">
        <v>12.4</v>
      </c>
      <c r="B124" t="s">
        <v>0</v>
      </c>
      <c r="C124">
        <v>0.246</v>
      </c>
      <c r="D124" t="s">
        <v>1</v>
      </c>
      <c r="E124">
        <v>0.67800000000000005</v>
      </c>
      <c r="G124">
        <v>12.4</v>
      </c>
      <c r="H124">
        <v>0.246</v>
      </c>
      <c r="I124">
        <v>0.67800000000000005</v>
      </c>
      <c r="K124">
        <v>12.4</v>
      </c>
      <c r="L124" t="s">
        <v>0</v>
      </c>
      <c r="M124">
        <v>0.23</v>
      </c>
      <c r="N124" t="s">
        <v>1</v>
      </c>
      <c r="O124">
        <v>0.68799999999999994</v>
      </c>
      <c r="Q124">
        <v>12.4</v>
      </c>
      <c r="R124" t="s">
        <v>0</v>
      </c>
      <c r="S124">
        <v>0.20899999999999999</v>
      </c>
      <c r="T124" t="s">
        <v>1</v>
      </c>
      <c r="U124">
        <v>0.69899999999999995</v>
      </c>
      <c r="X124">
        <v>12.3</v>
      </c>
      <c r="Y124" s="1">
        <v>0.25211</v>
      </c>
      <c r="Z124" s="1">
        <v>0.66660399999999997</v>
      </c>
      <c r="AA124" s="1">
        <f t="shared" si="1"/>
        <v>0.91871400000000003</v>
      </c>
    </row>
    <row r="125" spans="1:27" x14ac:dyDescent="0.2">
      <c r="A125">
        <v>12.5</v>
      </c>
      <c r="B125" t="s">
        <v>0</v>
      </c>
      <c r="C125">
        <v>0.27100000000000002</v>
      </c>
      <c r="D125" t="s">
        <v>1</v>
      </c>
      <c r="E125">
        <v>0.64900000000000002</v>
      </c>
      <c r="G125">
        <v>12.5</v>
      </c>
      <c r="H125">
        <v>0.27100000000000002</v>
      </c>
      <c r="I125">
        <v>0.64900000000000002</v>
      </c>
      <c r="K125">
        <v>12.5</v>
      </c>
      <c r="L125" t="s">
        <v>0</v>
      </c>
      <c r="M125">
        <v>0.29299999999999998</v>
      </c>
      <c r="N125" t="s">
        <v>1</v>
      </c>
      <c r="O125">
        <v>0.63400000000000001</v>
      </c>
      <c r="Q125">
        <v>12.5</v>
      </c>
      <c r="R125" t="s">
        <v>0</v>
      </c>
      <c r="S125">
        <v>0.27600000000000002</v>
      </c>
      <c r="T125" t="s">
        <v>1</v>
      </c>
      <c r="U125">
        <v>0.64100000000000001</v>
      </c>
      <c r="X125">
        <v>12.4</v>
      </c>
      <c r="Y125" s="1">
        <v>0.25744</v>
      </c>
      <c r="Z125" s="1">
        <v>0.66241000000000005</v>
      </c>
      <c r="AA125" s="1">
        <f t="shared" si="1"/>
        <v>0.91985000000000006</v>
      </c>
    </row>
    <row r="126" spans="1:27" x14ac:dyDescent="0.2">
      <c r="A126">
        <v>12.6</v>
      </c>
      <c r="B126" t="s">
        <v>0</v>
      </c>
      <c r="C126">
        <v>0.23599999999999999</v>
      </c>
      <c r="D126" t="s">
        <v>1</v>
      </c>
      <c r="E126">
        <v>0.69399999999999995</v>
      </c>
      <c r="G126">
        <v>12.6</v>
      </c>
      <c r="H126">
        <v>0.23599999999999999</v>
      </c>
      <c r="I126">
        <v>0.69399999999999995</v>
      </c>
      <c r="K126">
        <v>12.6</v>
      </c>
      <c r="L126" t="s">
        <v>0</v>
      </c>
      <c r="M126">
        <v>0.26200000000000001</v>
      </c>
      <c r="N126" t="s">
        <v>1</v>
      </c>
      <c r="O126">
        <v>0.66200000000000003</v>
      </c>
      <c r="Q126">
        <v>12.6</v>
      </c>
      <c r="R126" t="s">
        <v>0</v>
      </c>
      <c r="S126">
        <v>0.30099999999999999</v>
      </c>
      <c r="T126" t="s">
        <v>1</v>
      </c>
      <c r="U126">
        <v>0.61799999999999999</v>
      </c>
      <c r="X126">
        <v>12.5</v>
      </c>
      <c r="Y126" s="1">
        <v>0.25877600000000001</v>
      </c>
      <c r="Z126" s="1">
        <v>0.66120800000000002</v>
      </c>
      <c r="AA126" s="1">
        <f t="shared" si="1"/>
        <v>0.91998400000000002</v>
      </c>
    </row>
    <row r="127" spans="1:27" x14ac:dyDescent="0.2">
      <c r="A127">
        <v>12.7</v>
      </c>
      <c r="B127" t="s">
        <v>0</v>
      </c>
      <c r="C127">
        <v>0.27200000000000002</v>
      </c>
      <c r="D127" t="s">
        <v>1</v>
      </c>
      <c r="E127">
        <v>0.63900000000000001</v>
      </c>
      <c r="G127">
        <v>12.7</v>
      </c>
      <c r="H127">
        <v>0.27200000000000002</v>
      </c>
      <c r="I127">
        <v>0.63900000000000001</v>
      </c>
      <c r="K127">
        <v>12.7</v>
      </c>
      <c r="L127" t="s">
        <v>0</v>
      </c>
      <c r="M127">
        <v>0.191</v>
      </c>
      <c r="N127" t="s">
        <v>1</v>
      </c>
      <c r="O127">
        <v>0.72099999999999997</v>
      </c>
      <c r="Q127">
        <v>12.7</v>
      </c>
      <c r="R127" t="s">
        <v>0</v>
      </c>
      <c r="S127">
        <v>0.3</v>
      </c>
      <c r="T127" t="s">
        <v>1</v>
      </c>
      <c r="U127">
        <v>0.623</v>
      </c>
      <c r="X127">
        <v>12.6</v>
      </c>
      <c r="Y127" s="1">
        <v>0.26449499999999998</v>
      </c>
      <c r="Z127" s="1">
        <v>0.65677700000000006</v>
      </c>
      <c r="AA127" s="1">
        <f t="shared" si="1"/>
        <v>0.92127200000000009</v>
      </c>
    </row>
    <row r="128" spans="1:27" x14ac:dyDescent="0.2">
      <c r="A128">
        <v>12.8</v>
      </c>
      <c r="B128" t="s">
        <v>0</v>
      </c>
      <c r="C128">
        <v>0.28399999999999997</v>
      </c>
      <c r="D128" t="s">
        <v>1</v>
      </c>
      <c r="E128">
        <v>0.63700000000000001</v>
      </c>
      <c r="G128">
        <v>12.8</v>
      </c>
      <c r="H128">
        <v>0.28399999999999997</v>
      </c>
      <c r="I128">
        <v>0.63700000000000001</v>
      </c>
      <c r="K128">
        <v>12.8</v>
      </c>
      <c r="L128" t="s">
        <v>0</v>
      </c>
      <c r="M128">
        <v>0.24299999999999999</v>
      </c>
      <c r="N128" t="s">
        <v>1</v>
      </c>
      <c r="O128">
        <v>0.67100000000000004</v>
      </c>
      <c r="Q128">
        <v>12.8</v>
      </c>
      <c r="R128" t="s">
        <v>0</v>
      </c>
      <c r="S128">
        <v>0.29599999999999999</v>
      </c>
      <c r="T128" t="s">
        <v>1</v>
      </c>
      <c r="U128">
        <v>0.624</v>
      </c>
      <c r="X128">
        <v>12.7</v>
      </c>
      <c r="Y128" s="1">
        <v>0.267569</v>
      </c>
      <c r="Z128" s="1">
        <v>0.65368899999999996</v>
      </c>
      <c r="AA128" s="1">
        <f t="shared" si="1"/>
        <v>0.92125799999999991</v>
      </c>
    </row>
    <row r="129" spans="1:27" x14ac:dyDescent="0.2">
      <c r="A129">
        <v>12.9</v>
      </c>
      <c r="B129" t="s">
        <v>0</v>
      </c>
      <c r="C129">
        <v>0.312</v>
      </c>
      <c r="D129" t="s">
        <v>1</v>
      </c>
      <c r="E129">
        <v>0.61199999999999999</v>
      </c>
      <c r="G129">
        <v>12.9</v>
      </c>
      <c r="H129">
        <v>0.312</v>
      </c>
      <c r="I129">
        <v>0.61199999999999999</v>
      </c>
      <c r="K129">
        <v>12.9</v>
      </c>
      <c r="L129" t="s">
        <v>0</v>
      </c>
      <c r="M129">
        <v>0.25800000000000001</v>
      </c>
      <c r="N129" t="s">
        <v>1</v>
      </c>
      <c r="O129">
        <v>0.65300000000000002</v>
      </c>
      <c r="Q129">
        <v>12.9</v>
      </c>
      <c r="R129" t="s">
        <v>0</v>
      </c>
      <c r="S129">
        <v>0.26700000000000002</v>
      </c>
      <c r="T129" t="s">
        <v>1</v>
      </c>
      <c r="U129">
        <v>0.64700000000000002</v>
      </c>
      <c r="X129">
        <v>12.8</v>
      </c>
      <c r="Y129" s="1">
        <v>0.26977800000000002</v>
      </c>
      <c r="Z129" s="1">
        <v>0.65185400000000004</v>
      </c>
      <c r="AA129" s="1">
        <f t="shared" si="1"/>
        <v>0.92163200000000001</v>
      </c>
    </row>
    <row r="130" spans="1:27" x14ac:dyDescent="0.2">
      <c r="A130">
        <v>13</v>
      </c>
      <c r="B130" t="s">
        <v>0</v>
      </c>
      <c r="C130">
        <v>0.27500000000000002</v>
      </c>
      <c r="D130" t="s">
        <v>1</v>
      </c>
      <c r="E130">
        <v>0.64</v>
      </c>
      <c r="G130">
        <v>13</v>
      </c>
      <c r="H130">
        <v>0.27500000000000002</v>
      </c>
      <c r="I130">
        <v>0.64</v>
      </c>
      <c r="K130">
        <v>13</v>
      </c>
      <c r="L130" t="s">
        <v>0</v>
      </c>
      <c r="M130">
        <v>0.29399999999999998</v>
      </c>
      <c r="N130" t="s">
        <v>1</v>
      </c>
      <c r="O130">
        <v>0.63400000000000001</v>
      </c>
      <c r="Q130">
        <v>13</v>
      </c>
      <c r="R130" t="s">
        <v>0</v>
      </c>
      <c r="S130">
        <v>0.221</v>
      </c>
      <c r="T130" t="s">
        <v>1</v>
      </c>
      <c r="U130">
        <v>0.68799999999999994</v>
      </c>
      <c r="X130">
        <v>12.9</v>
      </c>
      <c r="Y130" s="1">
        <v>0.27240700000000001</v>
      </c>
      <c r="Z130" s="1">
        <v>0.64991900000000002</v>
      </c>
      <c r="AA130" s="1">
        <f t="shared" si="1"/>
        <v>0.92232599999999998</v>
      </c>
    </row>
    <row r="131" spans="1:27" x14ac:dyDescent="0.2">
      <c r="A131">
        <v>13.1</v>
      </c>
      <c r="B131" t="s">
        <v>0</v>
      </c>
      <c r="C131">
        <v>0.28599999999999998</v>
      </c>
      <c r="D131" t="s">
        <v>1</v>
      </c>
      <c r="E131">
        <v>0.628</v>
      </c>
      <c r="G131">
        <v>13.1</v>
      </c>
      <c r="H131">
        <v>0.28599999999999998</v>
      </c>
      <c r="I131">
        <v>0.628</v>
      </c>
      <c r="K131">
        <v>13.1</v>
      </c>
      <c r="L131" t="s">
        <v>0</v>
      </c>
      <c r="M131">
        <v>0.27300000000000002</v>
      </c>
      <c r="N131" t="s">
        <v>1</v>
      </c>
      <c r="O131">
        <v>0.64800000000000002</v>
      </c>
      <c r="Q131">
        <v>13.1</v>
      </c>
      <c r="R131" t="s">
        <v>0</v>
      </c>
      <c r="S131">
        <v>0.27900000000000003</v>
      </c>
      <c r="T131" t="s">
        <v>1</v>
      </c>
      <c r="U131">
        <v>0.64500000000000002</v>
      </c>
      <c r="X131">
        <v>13</v>
      </c>
      <c r="Y131" s="1">
        <v>0.27700200000000003</v>
      </c>
      <c r="Z131" s="1">
        <v>0.64595999999999998</v>
      </c>
      <c r="AA131" s="1">
        <f t="shared" ref="AA131:AA194" si="2">SUM(Y131:Z131)</f>
        <v>0.92296200000000006</v>
      </c>
    </row>
    <row r="132" spans="1:27" x14ac:dyDescent="0.2">
      <c r="A132">
        <v>13.2</v>
      </c>
      <c r="B132" t="s">
        <v>0</v>
      </c>
      <c r="C132">
        <v>0.311</v>
      </c>
      <c r="D132" t="s">
        <v>1</v>
      </c>
      <c r="E132">
        <v>0.622</v>
      </c>
      <c r="G132">
        <v>13.2</v>
      </c>
      <c r="H132">
        <v>0.311</v>
      </c>
      <c r="I132">
        <v>0.622</v>
      </c>
      <c r="K132">
        <v>13.2</v>
      </c>
      <c r="L132" t="s">
        <v>0</v>
      </c>
      <c r="M132">
        <v>0.26400000000000001</v>
      </c>
      <c r="N132" t="s">
        <v>1</v>
      </c>
      <c r="O132">
        <v>0.65800000000000003</v>
      </c>
      <c r="Q132">
        <v>13.2</v>
      </c>
      <c r="R132" t="s">
        <v>0</v>
      </c>
      <c r="S132">
        <v>0.30399999999999999</v>
      </c>
      <c r="T132" t="s">
        <v>1</v>
      </c>
      <c r="U132">
        <v>0.61699999999999999</v>
      </c>
      <c r="X132">
        <v>13.1</v>
      </c>
      <c r="Y132" s="1">
        <v>0.28068199999999999</v>
      </c>
      <c r="Z132" s="1">
        <v>0.64303900000000003</v>
      </c>
      <c r="AA132" s="1">
        <f t="shared" si="2"/>
        <v>0.92372100000000001</v>
      </c>
    </row>
    <row r="133" spans="1:27" x14ac:dyDescent="0.2">
      <c r="A133">
        <v>13.3</v>
      </c>
      <c r="B133" t="s">
        <v>0</v>
      </c>
      <c r="C133">
        <v>0.28299999999999997</v>
      </c>
      <c r="D133" t="s">
        <v>1</v>
      </c>
      <c r="E133">
        <v>0.64</v>
      </c>
      <c r="G133">
        <v>13.3</v>
      </c>
      <c r="H133">
        <v>0.28299999999999997</v>
      </c>
      <c r="I133">
        <v>0.64</v>
      </c>
      <c r="K133">
        <v>13.3</v>
      </c>
      <c r="L133" t="s">
        <v>0</v>
      </c>
      <c r="M133">
        <v>0.25600000000000001</v>
      </c>
      <c r="N133" t="s">
        <v>1</v>
      </c>
      <c r="O133">
        <v>0.66200000000000003</v>
      </c>
      <c r="Q133">
        <v>13.3</v>
      </c>
      <c r="R133" t="s">
        <v>0</v>
      </c>
      <c r="S133">
        <v>0.30099999999999999</v>
      </c>
      <c r="T133" t="s">
        <v>1</v>
      </c>
      <c r="U133">
        <v>0.626</v>
      </c>
      <c r="X133">
        <v>13.2</v>
      </c>
      <c r="Y133" s="1">
        <v>0.28308899999999998</v>
      </c>
      <c r="Z133" s="1">
        <v>0.64061900000000005</v>
      </c>
      <c r="AA133" s="1">
        <f t="shared" si="2"/>
        <v>0.92370799999999997</v>
      </c>
    </row>
    <row r="134" spans="1:27" x14ac:dyDescent="0.2">
      <c r="A134">
        <v>13.4</v>
      </c>
      <c r="B134" t="s">
        <v>0</v>
      </c>
      <c r="C134">
        <v>0.32100000000000001</v>
      </c>
      <c r="D134" t="s">
        <v>1</v>
      </c>
      <c r="E134">
        <v>0.61199999999999999</v>
      </c>
      <c r="G134">
        <v>13.4</v>
      </c>
      <c r="H134">
        <v>0.32100000000000001</v>
      </c>
      <c r="I134">
        <v>0.61199999999999999</v>
      </c>
      <c r="K134">
        <v>13.4</v>
      </c>
      <c r="L134" t="s">
        <v>0</v>
      </c>
      <c r="M134">
        <v>0.28399999999999997</v>
      </c>
      <c r="N134" t="s">
        <v>1</v>
      </c>
      <c r="O134">
        <v>0.63400000000000001</v>
      </c>
      <c r="Q134">
        <v>13.4</v>
      </c>
      <c r="R134" t="s">
        <v>0</v>
      </c>
      <c r="S134">
        <v>0.32300000000000001</v>
      </c>
      <c r="T134" t="s">
        <v>1</v>
      </c>
      <c r="U134">
        <v>0.61</v>
      </c>
      <c r="X134">
        <v>13.3</v>
      </c>
      <c r="Y134" s="1">
        <v>0.28629500000000002</v>
      </c>
      <c r="Z134" s="1">
        <v>0.63849599999999995</v>
      </c>
      <c r="AA134" s="1">
        <f t="shared" si="2"/>
        <v>0.92479099999999992</v>
      </c>
    </row>
    <row r="135" spans="1:27" x14ac:dyDescent="0.2">
      <c r="A135">
        <v>13.5</v>
      </c>
      <c r="B135" t="s">
        <v>0</v>
      </c>
      <c r="C135">
        <v>0.26600000000000001</v>
      </c>
      <c r="D135" t="s">
        <v>1</v>
      </c>
      <c r="E135">
        <v>0.66</v>
      </c>
      <c r="G135">
        <v>13.5</v>
      </c>
      <c r="H135">
        <v>0.26600000000000001</v>
      </c>
      <c r="I135">
        <v>0.66</v>
      </c>
      <c r="K135">
        <v>13.5</v>
      </c>
      <c r="L135" t="s">
        <v>0</v>
      </c>
      <c r="M135">
        <v>0.22500000000000001</v>
      </c>
      <c r="N135" t="s">
        <v>1</v>
      </c>
      <c r="O135">
        <v>0.69</v>
      </c>
      <c r="Q135">
        <v>13.5</v>
      </c>
      <c r="R135" t="s">
        <v>0</v>
      </c>
      <c r="S135">
        <v>0.27400000000000002</v>
      </c>
      <c r="T135" t="s">
        <v>1</v>
      </c>
      <c r="U135">
        <v>0.64</v>
      </c>
      <c r="X135">
        <v>13.4</v>
      </c>
      <c r="Y135" s="1">
        <v>0.28976499999999999</v>
      </c>
      <c r="Z135" s="1">
        <v>0.63529100000000005</v>
      </c>
      <c r="AA135" s="1">
        <f t="shared" si="2"/>
        <v>0.9250560000000001</v>
      </c>
    </row>
    <row r="136" spans="1:27" x14ac:dyDescent="0.2">
      <c r="A136">
        <v>13.6</v>
      </c>
      <c r="B136" t="s">
        <v>0</v>
      </c>
      <c r="C136">
        <v>0.27700000000000002</v>
      </c>
      <c r="D136" t="s">
        <v>1</v>
      </c>
      <c r="E136">
        <v>0.63600000000000001</v>
      </c>
      <c r="G136">
        <v>13.6</v>
      </c>
      <c r="H136">
        <v>0.27700000000000002</v>
      </c>
      <c r="I136">
        <v>0.63600000000000001</v>
      </c>
      <c r="K136">
        <v>13.6</v>
      </c>
      <c r="L136" t="s">
        <v>0</v>
      </c>
      <c r="M136">
        <v>0.309</v>
      </c>
      <c r="N136" t="s">
        <v>1</v>
      </c>
      <c r="O136">
        <v>0.61899999999999999</v>
      </c>
      <c r="Q136">
        <v>13.6</v>
      </c>
      <c r="R136" t="s">
        <v>0</v>
      </c>
      <c r="S136">
        <v>0.28499999999999998</v>
      </c>
      <c r="T136" t="s">
        <v>1</v>
      </c>
      <c r="U136">
        <v>0.63500000000000001</v>
      </c>
      <c r="X136">
        <v>13.5</v>
      </c>
      <c r="Y136" s="1">
        <v>0.29203899999999999</v>
      </c>
      <c r="Z136" s="1">
        <v>0.63370899999999997</v>
      </c>
      <c r="AA136" s="1">
        <f t="shared" si="2"/>
        <v>0.92574800000000002</v>
      </c>
    </row>
    <row r="137" spans="1:27" x14ac:dyDescent="0.2">
      <c r="A137">
        <v>13.7</v>
      </c>
      <c r="B137" t="s">
        <v>0</v>
      </c>
      <c r="C137">
        <v>0.309</v>
      </c>
      <c r="D137" t="s">
        <v>1</v>
      </c>
      <c r="E137">
        <v>0.63</v>
      </c>
      <c r="G137">
        <v>13.7</v>
      </c>
      <c r="H137">
        <v>0.309</v>
      </c>
      <c r="I137">
        <v>0.63</v>
      </c>
      <c r="K137">
        <v>13.7</v>
      </c>
      <c r="L137" t="s">
        <v>0</v>
      </c>
      <c r="M137">
        <v>0.26900000000000002</v>
      </c>
      <c r="N137" t="s">
        <v>1</v>
      </c>
      <c r="O137">
        <v>0.65</v>
      </c>
      <c r="Q137">
        <v>13.7</v>
      </c>
      <c r="R137" t="s">
        <v>0</v>
      </c>
      <c r="S137">
        <v>0.317</v>
      </c>
      <c r="T137" t="s">
        <v>1</v>
      </c>
      <c r="U137">
        <v>0.61899999999999999</v>
      </c>
      <c r="X137">
        <v>13.6</v>
      </c>
      <c r="Y137" s="1">
        <v>0.29692200000000002</v>
      </c>
      <c r="Z137" s="1">
        <v>0.62963199999999997</v>
      </c>
      <c r="AA137" s="1">
        <f t="shared" si="2"/>
        <v>0.92655399999999999</v>
      </c>
    </row>
    <row r="138" spans="1:27" x14ac:dyDescent="0.2">
      <c r="A138">
        <v>13.8</v>
      </c>
      <c r="B138" t="s">
        <v>0</v>
      </c>
      <c r="C138">
        <v>0.29699999999999999</v>
      </c>
      <c r="D138" t="s">
        <v>1</v>
      </c>
      <c r="E138">
        <v>0.625</v>
      </c>
      <c r="G138">
        <v>13.8</v>
      </c>
      <c r="H138">
        <v>0.29699999999999999</v>
      </c>
      <c r="I138">
        <v>0.625</v>
      </c>
      <c r="K138">
        <v>13.8</v>
      </c>
      <c r="L138" t="s">
        <v>0</v>
      </c>
      <c r="M138">
        <v>0.317</v>
      </c>
      <c r="N138" t="s">
        <v>1</v>
      </c>
      <c r="O138">
        <v>0.61599999999999999</v>
      </c>
      <c r="Q138">
        <v>13.8</v>
      </c>
      <c r="R138" t="s">
        <v>0</v>
      </c>
      <c r="S138">
        <v>0.32400000000000001</v>
      </c>
      <c r="T138" t="s">
        <v>1</v>
      </c>
      <c r="U138">
        <v>0.61799999999999999</v>
      </c>
      <c r="X138">
        <v>13.7</v>
      </c>
      <c r="Y138" s="1">
        <v>0.30200500000000002</v>
      </c>
      <c r="Z138" s="1">
        <v>0.62529599999999996</v>
      </c>
      <c r="AA138" s="1">
        <f t="shared" si="2"/>
        <v>0.92730099999999993</v>
      </c>
    </row>
    <row r="139" spans="1:27" x14ac:dyDescent="0.2">
      <c r="A139">
        <v>13.9</v>
      </c>
      <c r="B139" t="s">
        <v>0</v>
      </c>
      <c r="C139">
        <v>0.32800000000000001</v>
      </c>
      <c r="D139" t="s">
        <v>1</v>
      </c>
      <c r="E139">
        <v>0.59599999999999997</v>
      </c>
      <c r="G139">
        <v>13.9</v>
      </c>
      <c r="H139">
        <v>0.32800000000000001</v>
      </c>
      <c r="I139">
        <v>0.59599999999999997</v>
      </c>
      <c r="K139">
        <v>13.9</v>
      </c>
      <c r="L139" t="s">
        <v>0</v>
      </c>
      <c r="M139">
        <v>0.27100000000000002</v>
      </c>
      <c r="N139" t="s">
        <v>1</v>
      </c>
      <c r="O139">
        <v>0.65300000000000002</v>
      </c>
      <c r="Q139">
        <v>13.9</v>
      </c>
      <c r="R139" t="s">
        <v>0</v>
      </c>
      <c r="S139">
        <v>0.32</v>
      </c>
      <c r="T139" t="s">
        <v>1</v>
      </c>
      <c r="U139">
        <v>0.61399999999999999</v>
      </c>
      <c r="X139">
        <v>13.8</v>
      </c>
      <c r="Y139" s="1">
        <v>0.30307299999999998</v>
      </c>
      <c r="Z139" s="1">
        <v>0.62405600000000006</v>
      </c>
      <c r="AA139" s="1">
        <f t="shared" si="2"/>
        <v>0.92712900000000009</v>
      </c>
    </row>
    <row r="140" spans="1:27" x14ac:dyDescent="0.2">
      <c r="A140">
        <v>14</v>
      </c>
      <c r="B140" t="s">
        <v>0</v>
      </c>
      <c r="C140">
        <v>0.30399999999999999</v>
      </c>
      <c r="D140" t="s">
        <v>1</v>
      </c>
      <c r="E140">
        <v>0.61</v>
      </c>
      <c r="G140">
        <v>14</v>
      </c>
      <c r="H140">
        <v>0.30399999999999999</v>
      </c>
      <c r="I140">
        <v>0.61</v>
      </c>
      <c r="K140">
        <v>14</v>
      </c>
      <c r="L140" t="s">
        <v>0</v>
      </c>
      <c r="M140">
        <v>0.31</v>
      </c>
      <c r="N140" t="s">
        <v>1</v>
      </c>
      <c r="O140">
        <v>0.60199999999999998</v>
      </c>
      <c r="Q140">
        <v>14</v>
      </c>
      <c r="R140" t="s">
        <v>0</v>
      </c>
      <c r="S140">
        <v>0.28100000000000003</v>
      </c>
      <c r="T140" t="s">
        <v>1</v>
      </c>
      <c r="U140">
        <v>0.63500000000000001</v>
      </c>
      <c r="X140">
        <v>13.9</v>
      </c>
      <c r="Y140" s="1">
        <v>0.30648700000000001</v>
      </c>
      <c r="Z140" s="1">
        <v>0.62132799999999999</v>
      </c>
      <c r="AA140" s="1">
        <f t="shared" si="2"/>
        <v>0.92781500000000006</v>
      </c>
    </row>
    <row r="141" spans="1:27" x14ac:dyDescent="0.2">
      <c r="A141">
        <v>14.1</v>
      </c>
      <c r="B141" t="s">
        <v>0</v>
      </c>
      <c r="C141">
        <v>0.33400000000000002</v>
      </c>
      <c r="D141" t="s">
        <v>1</v>
      </c>
      <c r="E141">
        <v>0.59499999999999997</v>
      </c>
      <c r="G141">
        <v>14.1</v>
      </c>
      <c r="H141">
        <v>0.33400000000000002</v>
      </c>
      <c r="I141">
        <v>0.59499999999999997</v>
      </c>
      <c r="K141">
        <v>14.1</v>
      </c>
      <c r="L141" t="s">
        <v>0</v>
      </c>
      <c r="M141">
        <v>0.28599999999999998</v>
      </c>
      <c r="N141" t="s">
        <v>1</v>
      </c>
      <c r="O141">
        <v>0.627</v>
      </c>
      <c r="Q141">
        <v>14.1</v>
      </c>
      <c r="R141" t="s">
        <v>0</v>
      </c>
      <c r="S141">
        <v>0.32800000000000001</v>
      </c>
      <c r="T141" t="s">
        <v>1</v>
      </c>
      <c r="U141">
        <v>0.61199999999999999</v>
      </c>
      <c r="X141">
        <v>14</v>
      </c>
      <c r="Y141" s="1">
        <v>0.310805</v>
      </c>
      <c r="Z141" s="1">
        <v>0.61786200000000002</v>
      </c>
      <c r="AA141" s="1">
        <f t="shared" si="2"/>
        <v>0.92866700000000002</v>
      </c>
    </row>
    <row r="142" spans="1:27" x14ac:dyDescent="0.2">
      <c r="A142">
        <v>14.2</v>
      </c>
      <c r="B142" t="s">
        <v>0</v>
      </c>
      <c r="C142">
        <v>0.33900000000000002</v>
      </c>
      <c r="D142" t="s">
        <v>1</v>
      </c>
      <c r="E142">
        <v>0.60299999999999998</v>
      </c>
      <c r="G142">
        <v>14.2</v>
      </c>
      <c r="H142">
        <v>0.33900000000000002</v>
      </c>
      <c r="I142">
        <v>0.60299999999999998</v>
      </c>
      <c r="K142">
        <v>14.2</v>
      </c>
      <c r="L142" t="s">
        <v>0</v>
      </c>
      <c r="M142">
        <v>0.33200000000000002</v>
      </c>
      <c r="N142" t="s">
        <v>1</v>
      </c>
      <c r="O142">
        <v>0.60899999999999999</v>
      </c>
      <c r="Q142">
        <v>14.2</v>
      </c>
      <c r="R142" t="s">
        <v>0</v>
      </c>
      <c r="S142">
        <v>0.315</v>
      </c>
      <c r="T142" t="s">
        <v>1</v>
      </c>
      <c r="U142">
        <v>0.61299999999999999</v>
      </c>
      <c r="X142">
        <v>14.1</v>
      </c>
      <c r="Y142" s="1">
        <v>0.31418099999999999</v>
      </c>
      <c r="Z142" s="1">
        <v>0.61480699999999999</v>
      </c>
      <c r="AA142" s="1">
        <f t="shared" si="2"/>
        <v>0.92898799999999992</v>
      </c>
    </row>
    <row r="143" spans="1:27" x14ac:dyDescent="0.2">
      <c r="A143">
        <v>14.3</v>
      </c>
      <c r="B143" t="s">
        <v>0</v>
      </c>
      <c r="C143">
        <v>0.32300000000000001</v>
      </c>
      <c r="D143" t="s">
        <v>1</v>
      </c>
      <c r="E143">
        <v>0.60099999999999998</v>
      </c>
      <c r="G143">
        <v>14.3</v>
      </c>
      <c r="H143">
        <v>0.32300000000000001</v>
      </c>
      <c r="I143">
        <v>0.60099999999999998</v>
      </c>
      <c r="K143">
        <v>14.3</v>
      </c>
      <c r="L143" t="s">
        <v>0</v>
      </c>
      <c r="M143">
        <v>0.32</v>
      </c>
      <c r="N143" t="s">
        <v>1</v>
      </c>
      <c r="O143">
        <v>0.60099999999999998</v>
      </c>
      <c r="Q143">
        <v>14.3</v>
      </c>
      <c r="R143" t="s">
        <v>0</v>
      </c>
      <c r="S143">
        <v>0.33200000000000002</v>
      </c>
      <c r="T143" t="s">
        <v>1</v>
      </c>
      <c r="U143">
        <v>0.59899999999999998</v>
      </c>
      <c r="X143">
        <v>14.2</v>
      </c>
      <c r="Y143" s="1">
        <v>0.31592500000000001</v>
      </c>
      <c r="Z143" s="1">
        <v>0.61327200000000004</v>
      </c>
      <c r="AA143" s="1">
        <f t="shared" si="2"/>
        <v>0.92919700000000005</v>
      </c>
    </row>
    <row r="144" spans="1:27" x14ac:dyDescent="0.2">
      <c r="A144">
        <v>14.4</v>
      </c>
      <c r="B144" t="s">
        <v>0</v>
      </c>
      <c r="C144">
        <v>0.34699999999999998</v>
      </c>
      <c r="D144" t="s">
        <v>1</v>
      </c>
      <c r="E144">
        <v>0.58799999999999997</v>
      </c>
      <c r="G144">
        <v>14.4</v>
      </c>
      <c r="H144">
        <v>0.34699999999999998</v>
      </c>
      <c r="I144">
        <v>0.58799999999999997</v>
      </c>
      <c r="K144">
        <v>14.4</v>
      </c>
      <c r="L144" t="s">
        <v>0</v>
      </c>
      <c r="M144">
        <v>0.29699999999999999</v>
      </c>
      <c r="N144" t="s">
        <v>1</v>
      </c>
      <c r="O144">
        <v>0.627</v>
      </c>
      <c r="Q144">
        <v>14.4</v>
      </c>
      <c r="R144" t="s">
        <v>0</v>
      </c>
      <c r="S144">
        <v>0.28699999999999998</v>
      </c>
      <c r="T144" t="s">
        <v>1</v>
      </c>
      <c r="U144">
        <v>0.622</v>
      </c>
      <c r="X144">
        <v>14.3</v>
      </c>
      <c r="Y144" s="1">
        <v>0.31972</v>
      </c>
      <c r="Z144" s="1">
        <v>0.60997100000000004</v>
      </c>
      <c r="AA144" s="1">
        <f t="shared" si="2"/>
        <v>0.92969100000000005</v>
      </c>
    </row>
    <row r="145" spans="1:27" x14ac:dyDescent="0.2">
      <c r="A145">
        <v>14.5</v>
      </c>
      <c r="B145" t="s">
        <v>0</v>
      </c>
      <c r="C145">
        <v>0.30499999999999999</v>
      </c>
      <c r="D145" t="s">
        <v>1</v>
      </c>
      <c r="E145">
        <v>0.62</v>
      </c>
      <c r="G145">
        <v>14.5</v>
      </c>
      <c r="H145">
        <v>0.30499999999999999</v>
      </c>
      <c r="I145">
        <v>0.62</v>
      </c>
      <c r="K145">
        <v>14.5</v>
      </c>
      <c r="L145" t="s">
        <v>0</v>
      </c>
      <c r="M145">
        <v>0.37</v>
      </c>
      <c r="N145" t="s">
        <v>1</v>
      </c>
      <c r="O145">
        <v>0.56799999999999995</v>
      </c>
      <c r="Q145">
        <v>14.5</v>
      </c>
      <c r="R145" t="s">
        <v>0</v>
      </c>
      <c r="S145">
        <v>0.315</v>
      </c>
      <c r="T145" t="s">
        <v>1</v>
      </c>
      <c r="U145">
        <v>0.61699999999999999</v>
      </c>
      <c r="X145">
        <v>14.4</v>
      </c>
      <c r="Y145" s="1">
        <v>0.32293500000000003</v>
      </c>
      <c r="Z145" s="1">
        <v>0.60747099999999998</v>
      </c>
      <c r="AA145" s="1">
        <f t="shared" si="2"/>
        <v>0.93040600000000007</v>
      </c>
    </row>
    <row r="146" spans="1:27" x14ac:dyDescent="0.2">
      <c r="A146">
        <v>14.6</v>
      </c>
      <c r="B146" t="s">
        <v>0</v>
      </c>
      <c r="C146">
        <v>0.29599999999999999</v>
      </c>
      <c r="D146" t="s">
        <v>1</v>
      </c>
      <c r="E146">
        <v>0.628</v>
      </c>
      <c r="G146">
        <v>14.6</v>
      </c>
      <c r="H146">
        <v>0.29599999999999999</v>
      </c>
      <c r="I146">
        <v>0.628</v>
      </c>
      <c r="K146">
        <v>14.6</v>
      </c>
      <c r="L146" t="s">
        <v>0</v>
      </c>
      <c r="M146">
        <v>0.26900000000000002</v>
      </c>
      <c r="N146" t="s">
        <v>1</v>
      </c>
      <c r="O146">
        <v>0.64300000000000002</v>
      </c>
      <c r="Q146">
        <v>14.6</v>
      </c>
      <c r="R146" t="s">
        <v>0</v>
      </c>
      <c r="S146">
        <v>0.32700000000000001</v>
      </c>
      <c r="T146" t="s">
        <v>1</v>
      </c>
      <c r="U146">
        <v>0.60899999999999999</v>
      </c>
      <c r="X146">
        <v>14.5</v>
      </c>
      <c r="Y146" s="1">
        <v>0.32647500000000002</v>
      </c>
      <c r="Z146" s="1">
        <v>0.60443000000000002</v>
      </c>
      <c r="AA146" s="1">
        <f t="shared" si="2"/>
        <v>0.93090500000000009</v>
      </c>
    </row>
    <row r="147" spans="1:27" x14ac:dyDescent="0.2">
      <c r="A147">
        <v>14.7</v>
      </c>
      <c r="B147" t="s">
        <v>0</v>
      </c>
      <c r="C147">
        <v>0.33</v>
      </c>
      <c r="D147" t="s">
        <v>1</v>
      </c>
      <c r="E147">
        <v>0.59499999999999997</v>
      </c>
      <c r="G147">
        <v>14.7</v>
      </c>
      <c r="H147">
        <v>0.33</v>
      </c>
      <c r="I147">
        <v>0.59499999999999997</v>
      </c>
      <c r="K147">
        <v>14.7</v>
      </c>
      <c r="L147" t="s">
        <v>0</v>
      </c>
      <c r="M147">
        <v>0.33800000000000002</v>
      </c>
      <c r="N147" t="s">
        <v>1</v>
      </c>
      <c r="O147">
        <v>0.60799999999999998</v>
      </c>
      <c r="Q147">
        <v>14.7</v>
      </c>
      <c r="R147" t="s">
        <v>0</v>
      </c>
      <c r="S147">
        <v>0.33</v>
      </c>
      <c r="T147" t="s">
        <v>1</v>
      </c>
      <c r="U147">
        <v>0.61299999999999999</v>
      </c>
      <c r="X147">
        <v>14.6</v>
      </c>
      <c r="Y147" s="1">
        <v>0.32886799999999999</v>
      </c>
      <c r="Z147" s="1">
        <v>0.60255800000000004</v>
      </c>
      <c r="AA147" s="1">
        <f t="shared" si="2"/>
        <v>0.93142600000000009</v>
      </c>
    </row>
    <row r="148" spans="1:27" x14ac:dyDescent="0.2">
      <c r="A148">
        <v>14.8</v>
      </c>
      <c r="B148" t="s">
        <v>0</v>
      </c>
      <c r="C148">
        <v>0.317</v>
      </c>
      <c r="D148" t="s">
        <v>1</v>
      </c>
      <c r="E148">
        <v>0.60899999999999999</v>
      </c>
      <c r="G148">
        <v>14.8</v>
      </c>
      <c r="H148">
        <v>0.317</v>
      </c>
      <c r="I148">
        <v>0.60899999999999999</v>
      </c>
      <c r="K148">
        <v>14.8</v>
      </c>
      <c r="L148" t="s">
        <v>0</v>
      </c>
      <c r="M148">
        <v>0.314</v>
      </c>
      <c r="N148" t="s">
        <v>1</v>
      </c>
      <c r="O148">
        <v>0.61899999999999999</v>
      </c>
      <c r="Q148">
        <v>14.8</v>
      </c>
      <c r="R148" t="s">
        <v>0</v>
      </c>
      <c r="S148">
        <v>0.39800000000000002</v>
      </c>
      <c r="T148" t="s">
        <v>1</v>
      </c>
      <c r="U148">
        <v>0.55100000000000005</v>
      </c>
      <c r="X148">
        <v>14.7</v>
      </c>
      <c r="Y148" s="1">
        <v>0.33362700000000001</v>
      </c>
      <c r="Z148" s="1">
        <v>0.59816199999999997</v>
      </c>
      <c r="AA148" s="1">
        <f t="shared" si="2"/>
        <v>0.93178899999999998</v>
      </c>
    </row>
    <row r="149" spans="1:27" x14ac:dyDescent="0.2">
      <c r="A149">
        <v>14.9</v>
      </c>
      <c r="B149" t="s">
        <v>0</v>
      </c>
      <c r="C149">
        <v>0.313</v>
      </c>
      <c r="D149" t="s">
        <v>1</v>
      </c>
      <c r="E149">
        <v>0.61799999999999999</v>
      </c>
      <c r="G149">
        <v>14.9</v>
      </c>
      <c r="H149">
        <v>0.313</v>
      </c>
      <c r="I149">
        <v>0.61799999999999999</v>
      </c>
      <c r="K149">
        <v>14.9</v>
      </c>
      <c r="L149" t="s">
        <v>0</v>
      </c>
      <c r="M149">
        <v>0.32400000000000001</v>
      </c>
      <c r="N149" t="s">
        <v>1</v>
      </c>
      <c r="O149">
        <v>0.60499999999999998</v>
      </c>
      <c r="Q149">
        <v>14.9</v>
      </c>
      <c r="R149" t="s">
        <v>0</v>
      </c>
      <c r="S149">
        <v>0.38700000000000001</v>
      </c>
      <c r="T149" t="s">
        <v>1</v>
      </c>
      <c r="U149">
        <v>0.56100000000000005</v>
      </c>
      <c r="X149">
        <v>14.8</v>
      </c>
      <c r="Y149" s="1">
        <v>0.33679199999999998</v>
      </c>
      <c r="Z149" s="1">
        <v>0.59559899999999999</v>
      </c>
      <c r="AA149" s="1">
        <f t="shared" si="2"/>
        <v>0.93239099999999997</v>
      </c>
    </row>
    <row r="150" spans="1:27" x14ac:dyDescent="0.2">
      <c r="A150">
        <v>15</v>
      </c>
      <c r="B150" t="s">
        <v>0</v>
      </c>
      <c r="C150">
        <v>0.312</v>
      </c>
      <c r="D150" t="s">
        <v>1</v>
      </c>
      <c r="E150">
        <v>0.624</v>
      </c>
      <c r="G150">
        <v>15</v>
      </c>
      <c r="H150">
        <v>0.312</v>
      </c>
      <c r="I150">
        <v>0.624</v>
      </c>
      <c r="K150">
        <v>15</v>
      </c>
      <c r="L150" t="s">
        <v>0</v>
      </c>
      <c r="M150">
        <v>0.308</v>
      </c>
      <c r="N150" t="s">
        <v>1</v>
      </c>
      <c r="O150">
        <v>0.627</v>
      </c>
      <c r="Q150">
        <v>15</v>
      </c>
      <c r="R150" t="s">
        <v>0</v>
      </c>
      <c r="S150">
        <v>0.35299999999999998</v>
      </c>
      <c r="T150" t="s">
        <v>1</v>
      </c>
      <c r="U150">
        <v>0.58199999999999996</v>
      </c>
      <c r="X150">
        <v>14.9</v>
      </c>
      <c r="Y150" s="1">
        <v>0.34005200000000002</v>
      </c>
      <c r="Z150" s="1">
        <v>0.59297800000000001</v>
      </c>
      <c r="AA150" s="1">
        <f t="shared" si="2"/>
        <v>0.93303000000000003</v>
      </c>
    </row>
    <row r="151" spans="1:27" x14ac:dyDescent="0.2">
      <c r="A151">
        <v>15.1</v>
      </c>
      <c r="B151" t="s">
        <v>0</v>
      </c>
      <c r="C151">
        <v>0.35399999999999998</v>
      </c>
      <c r="D151" t="s">
        <v>1</v>
      </c>
      <c r="E151">
        <v>0.58799999999999997</v>
      </c>
      <c r="G151">
        <v>15.1</v>
      </c>
      <c r="H151">
        <v>0.35399999999999998</v>
      </c>
      <c r="I151">
        <v>0.58799999999999997</v>
      </c>
      <c r="K151">
        <v>15.1</v>
      </c>
      <c r="L151" t="s">
        <v>0</v>
      </c>
      <c r="M151">
        <v>0.30499999999999999</v>
      </c>
      <c r="N151" t="s">
        <v>1</v>
      </c>
      <c r="O151">
        <v>0.61199999999999999</v>
      </c>
      <c r="Q151">
        <v>15.1</v>
      </c>
      <c r="R151" t="s">
        <v>0</v>
      </c>
      <c r="S151">
        <v>0.34499999999999997</v>
      </c>
      <c r="T151" t="s">
        <v>1</v>
      </c>
      <c r="U151">
        <v>0.58699999999999997</v>
      </c>
      <c r="X151">
        <v>15</v>
      </c>
      <c r="Y151" s="1">
        <v>0.34259400000000001</v>
      </c>
      <c r="Z151" s="1">
        <v>0.59126400000000001</v>
      </c>
      <c r="AA151" s="1">
        <f t="shared" si="2"/>
        <v>0.93385800000000008</v>
      </c>
    </row>
    <row r="152" spans="1:27" x14ac:dyDescent="0.2">
      <c r="A152">
        <v>15.2</v>
      </c>
      <c r="B152" t="s">
        <v>0</v>
      </c>
      <c r="C152">
        <v>0.36399999999999999</v>
      </c>
      <c r="D152" t="s">
        <v>1</v>
      </c>
      <c r="E152">
        <v>0.57999999999999996</v>
      </c>
      <c r="G152">
        <v>15.2</v>
      </c>
      <c r="H152">
        <v>0.36399999999999999</v>
      </c>
      <c r="I152">
        <v>0.57999999999999996</v>
      </c>
      <c r="K152">
        <v>15.2</v>
      </c>
      <c r="L152" t="s">
        <v>0</v>
      </c>
      <c r="M152">
        <v>0.33800000000000002</v>
      </c>
      <c r="N152" t="s">
        <v>1</v>
      </c>
      <c r="O152">
        <v>0.60199999999999998</v>
      </c>
      <c r="Q152">
        <v>15.2</v>
      </c>
      <c r="R152" t="s">
        <v>0</v>
      </c>
      <c r="S152">
        <v>0.35499999999999998</v>
      </c>
      <c r="T152" t="s">
        <v>1</v>
      </c>
      <c r="U152">
        <v>0.57399999999999995</v>
      </c>
      <c r="X152">
        <v>15.1</v>
      </c>
      <c r="Y152" s="1">
        <v>0.34364600000000001</v>
      </c>
      <c r="Z152" s="1">
        <v>0.59010499999999999</v>
      </c>
      <c r="AA152" s="1">
        <f t="shared" si="2"/>
        <v>0.933751</v>
      </c>
    </row>
    <row r="153" spans="1:27" x14ac:dyDescent="0.2">
      <c r="A153">
        <v>15.3</v>
      </c>
      <c r="B153" t="s">
        <v>0</v>
      </c>
      <c r="C153">
        <v>0.38100000000000001</v>
      </c>
      <c r="D153" t="s">
        <v>1</v>
      </c>
      <c r="E153">
        <v>0.55200000000000005</v>
      </c>
      <c r="G153">
        <v>15.3</v>
      </c>
      <c r="H153">
        <v>0.38100000000000001</v>
      </c>
      <c r="I153">
        <v>0.55200000000000005</v>
      </c>
      <c r="K153">
        <v>15.3</v>
      </c>
      <c r="L153" t="s">
        <v>0</v>
      </c>
      <c r="M153">
        <v>0.36599999999999999</v>
      </c>
      <c r="N153" t="s">
        <v>1</v>
      </c>
      <c r="O153">
        <v>0.58099999999999996</v>
      </c>
      <c r="Q153">
        <v>15.3</v>
      </c>
      <c r="R153" t="s">
        <v>0</v>
      </c>
      <c r="S153">
        <v>0.32600000000000001</v>
      </c>
      <c r="T153" t="s">
        <v>1</v>
      </c>
      <c r="U153">
        <v>0.60899999999999999</v>
      </c>
      <c r="X153">
        <v>15.2</v>
      </c>
      <c r="Y153" s="1">
        <v>0.34791699999999998</v>
      </c>
      <c r="Z153" s="1">
        <v>0.58640300000000001</v>
      </c>
      <c r="AA153" s="1">
        <f t="shared" si="2"/>
        <v>0.93432000000000004</v>
      </c>
    </row>
    <row r="154" spans="1:27" x14ac:dyDescent="0.2">
      <c r="A154">
        <v>15.4</v>
      </c>
      <c r="B154" t="s">
        <v>0</v>
      </c>
      <c r="C154">
        <v>0.33800000000000002</v>
      </c>
      <c r="D154" t="s">
        <v>1</v>
      </c>
      <c r="E154">
        <v>0.59199999999999997</v>
      </c>
      <c r="G154">
        <v>15.4</v>
      </c>
      <c r="H154">
        <v>0.33800000000000002</v>
      </c>
      <c r="I154">
        <v>0.59199999999999997</v>
      </c>
      <c r="K154">
        <v>15.4</v>
      </c>
      <c r="L154" t="s">
        <v>0</v>
      </c>
      <c r="M154">
        <v>0.35799999999999998</v>
      </c>
      <c r="N154" t="s">
        <v>1</v>
      </c>
      <c r="O154">
        <v>0.57299999999999995</v>
      </c>
      <c r="Q154">
        <v>15.4</v>
      </c>
      <c r="R154" t="s">
        <v>0</v>
      </c>
      <c r="S154">
        <v>0.31900000000000001</v>
      </c>
      <c r="T154" t="s">
        <v>1</v>
      </c>
      <c r="U154">
        <v>0.59899999999999998</v>
      </c>
      <c r="X154">
        <v>15.3</v>
      </c>
      <c r="Y154" s="1">
        <v>0.35115800000000003</v>
      </c>
      <c r="Z154" s="1">
        <v>0.58406400000000003</v>
      </c>
      <c r="AA154" s="1">
        <f t="shared" si="2"/>
        <v>0.935222</v>
      </c>
    </row>
    <row r="155" spans="1:27" x14ac:dyDescent="0.2">
      <c r="A155">
        <v>15.5</v>
      </c>
      <c r="B155" t="s">
        <v>0</v>
      </c>
      <c r="C155">
        <v>0.34799999999999998</v>
      </c>
      <c r="D155" t="s">
        <v>1</v>
      </c>
      <c r="E155">
        <v>0.57299999999999995</v>
      </c>
      <c r="G155">
        <v>15.5</v>
      </c>
      <c r="H155">
        <v>0.34799999999999998</v>
      </c>
      <c r="I155">
        <v>0.57299999999999995</v>
      </c>
      <c r="K155">
        <v>15.5</v>
      </c>
      <c r="L155" t="s">
        <v>0</v>
      </c>
      <c r="M155">
        <v>0.33400000000000002</v>
      </c>
      <c r="N155" t="s">
        <v>1</v>
      </c>
      <c r="O155">
        <v>0.59599999999999997</v>
      </c>
      <c r="Q155">
        <v>15.5</v>
      </c>
      <c r="R155" t="s">
        <v>0</v>
      </c>
      <c r="S155">
        <v>0.32100000000000001</v>
      </c>
      <c r="T155" t="s">
        <v>1</v>
      </c>
      <c r="U155">
        <v>0.60299999999999998</v>
      </c>
      <c r="X155">
        <v>15.4</v>
      </c>
      <c r="Y155" s="1">
        <v>0.35425299999999998</v>
      </c>
      <c r="Z155" s="1">
        <v>0.58114399999999999</v>
      </c>
      <c r="AA155" s="1">
        <f t="shared" si="2"/>
        <v>0.93539700000000003</v>
      </c>
    </row>
    <row r="156" spans="1:27" x14ac:dyDescent="0.2">
      <c r="A156">
        <v>15.6</v>
      </c>
      <c r="B156" t="s">
        <v>0</v>
      </c>
      <c r="C156">
        <v>0.39600000000000002</v>
      </c>
      <c r="D156" t="s">
        <v>1</v>
      </c>
      <c r="E156">
        <v>0.54200000000000004</v>
      </c>
      <c r="G156">
        <v>15.6</v>
      </c>
      <c r="H156">
        <v>0.39600000000000002</v>
      </c>
      <c r="I156">
        <v>0.54200000000000004</v>
      </c>
      <c r="K156">
        <v>15.6</v>
      </c>
      <c r="L156" t="s">
        <v>0</v>
      </c>
      <c r="M156">
        <v>0.39400000000000002</v>
      </c>
      <c r="N156" t="s">
        <v>1</v>
      </c>
      <c r="O156">
        <v>0.55400000000000005</v>
      </c>
      <c r="Q156">
        <v>15.6</v>
      </c>
      <c r="R156" t="s">
        <v>0</v>
      </c>
      <c r="S156">
        <v>0.38400000000000001</v>
      </c>
      <c r="T156" t="s">
        <v>1</v>
      </c>
      <c r="U156">
        <v>0.56100000000000005</v>
      </c>
      <c r="X156">
        <v>15.5</v>
      </c>
      <c r="Y156" s="1">
        <v>0.356985</v>
      </c>
      <c r="Z156" s="1">
        <v>0.57856399999999997</v>
      </c>
      <c r="AA156" s="1">
        <f t="shared" si="2"/>
        <v>0.93554899999999996</v>
      </c>
    </row>
    <row r="157" spans="1:27" x14ac:dyDescent="0.2">
      <c r="A157">
        <v>15.7</v>
      </c>
      <c r="B157" t="s">
        <v>0</v>
      </c>
      <c r="C157">
        <v>0.34200000000000003</v>
      </c>
      <c r="D157" t="s">
        <v>1</v>
      </c>
      <c r="E157">
        <v>0.59699999999999998</v>
      </c>
      <c r="G157">
        <v>15.7</v>
      </c>
      <c r="H157">
        <v>0.34200000000000003</v>
      </c>
      <c r="I157">
        <v>0.59699999999999998</v>
      </c>
      <c r="K157">
        <v>15.7</v>
      </c>
      <c r="L157" t="s">
        <v>0</v>
      </c>
      <c r="M157">
        <v>0.36799999999999999</v>
      </c>
      <c r="N157" t="s">
        <v>1</v>
      </c>
      <c r="O157">
        <v>0.56599999999999995</v>
      </c>
      <c r="Q157">
        <v>15.7</v>
      </c>
      <c r="R157" t="s">
        <v>0</v>
      </c>
      <c r="S157">
        <v>0.34399999999999997</v>
      </c>
      <c r="T157" t="s">
        <v>1</v>
      </c>
      <c r="U157">
        <v>0.58799999999999997</v>
      </c>
      <c r="X157">
        <v>15.6</v>
      </c>
      <c r="Y157" s="1">
        <v>0.35865599999999997</v>
      </c>
      <c r="Z157" s="1">
        <v>0.577075</v>
      </c>
      <c r="AA157" s="1">
        <f t="shared" si="2"/>
        <v>0.93573099999999998</v>
      </c>
    </row>
    <row r="158" spans="1:27" x14ac:dyDescent="0.2">
      <c r="A158">
        <v>15.8</v>
      </c>
      <c r="B158" t="s">
        <v>0</v>
      </c>
      <c r="C158">
        <v>0.32300000000000001</v>
      </c>
      <c r="D158" t="s">
        <v>1</v>
      </c>
      <c r="E158">
        <v>0.6</v>
      </c>
      <c r="G158">
        <v>15.8</v>
      </c>
      <c r="H158">
        <v>0.32300000000000001</v>
      </c>
      <c r="I158">
        <v>0.6</v>
      </c>
      <c r="K158">
        <v>15.8</v>
      </c>
      <c r="L158" t="s">
        <v>0</v>
      </c>
      <c r="M158">
        <v>0.375</v>
      </c>
      <c r="N158" t="s">
        <v>1</v>
      </c>
      <c r="O158">
        <v>0.56200000000000006</v>
      </c>
      <c r="Q158">
        <v>15.8</v>
      </c>
      <c r="R158" t="s">
        <v>0</v>
      </c>
      <c r="S158">
        <v>0.34899999999999998</v>
      </c>
      <c r="T158" t="s">
        <v>1</v>
      </c>
      <c r="U158">
        <v>0.58599999999999997</v>
      </c>
      <c r="X158">
        <v>15.7</v>
      </c>
      <c r="Y158" s="1">
        <v>0.36308299999999999</v>
      </c>
      <c r="Z158" s="1">
        <v>0.57327899999999998</v>
      </c>
      <c r="AA158" s="1">
        <f t="shared" si="2"/>
        <v>0.93636199999999992</v>
      </c>
    </row>
    <row r="159" spans="1:27" x14ac:dyDescent="0.2">
      <c r="A159">
        <v>15.9</v>
      </c>
      <c r="B159" t="s">
        <v>0</v>
      </c>
      <c r="C159">
        <v>0.40100000000000002</v>
      </c>
      <c r="D159" t="s">
        <v>1</v>
      </c>
      <c r="E159">
        <v>0.54300000000000004</v>
      </c>
      <c r="G159">
        <v>15.9</v>
      </c>
      <c r="H159">
        <v>0.40100000000000002</v>
      </c>
      <c r="I159">
        <v>0.54300000000000004</v>
      </c>
      <c r="K159">
        <v>15.9</v>
      </c>
      <c r="L159" t="s">
        <v>0</v>
      </c>
      <c r="M159">
        <v>0.39800000000000002</v>
      </c>
      <c r="N159" t="s">
        <v>1</v>
      </c>
      <c r="O159">
        <v>0.54300000000000004</v>
      </c>
      <c r="Q159">
        <v>15.9</v>
      </c>
      <c r="R159" t="s">
        <v>0</v>
      </c>
      <c r="S159">
        <v>0.36199999999999999</v>
      </c>
      <c r="T159" t="s">
        <v>1</v>
      </c>
      <c r="U159">
        <v>0.57799999999999996</v>
      </c>
      <c r="X159">
        <v>15.8</v>
      </c>
      <c r="Y159" s="1">
        <v>0.36518600000000001</v>
      </c>
      <c r="Z159" s="1">
        <v>0.57163399999999998</v>
      </c>
      <c r="AA159" s="1">
        <f t="shared" si="2"/>
        <v>0.93681999999999999</v>
      </c>
    </row>
    <row r="160" spans="1:27" x14ac:dyDescent="0.2">
      <c r="A160">
        <v>16</v>
      </c>
      <c r="B160" t="s">
        <v>0</v>
      </c>
      <c r="C160">
        <v>0.35799999999999998</v>
      </c>
      <c r="D160" t="s">
        <v>1</v>
      </c>
      <c r="E160">
        <v>0.57599999999999996</v>
      </c>
      <c r="G160">
        <v>16</v>
      </c>
      <c r="H160">
        <v>0.35799999999999998</v>
      </c>
      <c r="I160">
        <v>0.57599999999999996</v>
      </c>
      <c r="K160">
        <v>16</v>
      </c>
      <c r="L160" t="s">
        <v>0</v>
      </c>
      <c r="M160">
        <v>0.42399999999999999</v>
      </c>
      <c r="N160" t="s">
        <v>1</v>
      </c>
      <c r="O160">
        <v>0.52600000000000002</v>
      </c>
      <c r="Q160">
        <v>16</v>
      </c>
      <c r="R160" t="s">
        <v>0</v>
      </c>
      <c r="S160">
        <v>0.38600000000000001</v>
      </c>
      <c r="T160" t="s">
        <v>1</v>
      </c>
      <c r="U160">
        <v>0.54400000000000004</v>
      </c>
      <c r="X160">
        <v>15.9</v>
      </c>
      <c r="Y160" s="1">
        <v>0.36941400000000002</v>
      </c>
      <c r="Z160" s="1">
        <v>0.56821999999999995</v>
      </c>
      <c r="AA160" s="1">
        <f t="shared" si="2"/>
        <v>0.93763399999999997</v>
      </c>
    </row>
    <row r="161" spans="1:27" x14ac:dyDescent="0.2">
      <c r="A161">
        <v>16.100000000000001</v>
      </c>
      <c r="B161" t="s">
        <v>0</v>
      </c>
      <c r="C161">
        <v>0.43099999999999999</v>
      </c>
      <c r="D161" t="s">
        <v>1</v>
      </c>
      <c r="E161">
        <v>0.51100000000000001</v>
      </c>
      <c r="G161">
        <v>16.100000000000001</v>
      </c>
      <c r="H161">
        <v>0.43099999999999999</v>
      </c>
      <c r="I161">
        <v>0.51100000000000001</v>
      </c>
      <c r="K161">
        <v>16.100000000000001</v>
      </c>
      <c r="L161" t="s">
        <v>0</v>
      </c>
      <c r="M161">
        <v>0.32900000000000001</v>
      </c>
      <c r="N161" t="s">
        <v>1</v>
      </c>
      <c r="O161">
        <v>0.59799999999999998</v>
      </c>
      <c r="Q161">
        <v>16.100000000000001</v>
      </c>
      <c r="R161" t="s">
        <v>0</v>
      </c>
      <c r="S161">
        <v>0.39300000000000002</v>
      </c>
      <c r="T161" t="s">
        <v>1</v>
      </c>
      <c r="U161">
        <v>0.56100000000000005</v>
      </c>
      <c r="X161">
        <v>16</v>
      </c>
      <c r="Y161" s="1">
        <v>0.37085899999999999</v>
      </c>
      <c r="Z161" s="1">
        <v>0.56682900000000003</v>
      </c>
      <c r="AA161" s="1">
        <f t="shared" si="2"/>
        <v>0.93768800000000008</v>
      </c>
    </row>
    <row r="162" spans="1:27" x14ac:dyDescent="0.2">
      <c r="A162">
        <v>16.2</v>
      </c>
      <c r="B162" t="s">
        <v>0</v>
      </c>
      <c r="C162">
        <v>0.41799999999999998</v>
      </c>
      <c r="D162" t="s">
        <v>1</v>
      </c>
      <c r="E162">
        <v>0.51700000000000002</v>
      </c>
      <c r="G162">
        <v>16.2</v>
      </c>
      <c r="H162">
        <v>0.41799999999999998</v>
      </c>
      <c r="I162">
        <v>0.51700000000000002</v>
      </c>
      <c r="K162">
        <v>16.2</v>
      </c>
      <c r="L162" t="s">
        <v>0</v>
      </c>
      <c r="M162">
        <v>0.40300000000000002</v>
      </c>
      <c r="N162" t="s">
        <v>1</v>
      </c>
      <c r="O162">
        <v>0.52300000000000002</v>
      </c>
      <c r="Q162">
        <v>16.2</v>
      </c>
      <c r="R162" t="s">
        <v>0</v>
      </c>
      <c r="S162">
        <v>0.309</v>
      </c>
      <c r="T162" t="s">
        <v>1</v>
      </c>
      <c r="U162">
        <v>0.61599999999999999</v>
      </c>
      <c r="X162">
        <v>16.100000000000001</v>
      </c>
      <c r="Y162" s="1">
        <v>0.374413</v>
      </c>
      <c r="Z162" s="1">
        <v>0.56375699999999995</v>
      </c>
      <c r="AA162" s="1">
        <f t="shared" si="2"/>
        <v>0.93816999999999995</v>
      </c>
    </row>
    <row r="163" spans="1:27" x14ac:dyDescent="0.2">
      <c r="A163">
        <v>16.3</v>
      </c>
      <c r="B163" t="s">
        <v>0</v>
      </c>
      <c r="C163">
        <v>0.371</v>
      </c>
      <c r="D163" t="s">
        <v>1</v>
      </c>
      <c r="E163">
        <v>0.56499999999999995</v>
      </c>
      <c r="G163">
        <v>16.3</v>
      </c>
      <c r="H163">
        <v>0.371</v>
      </c>
      <c r="I163">
        <v>0.56499999999999995</v>
      </c>
      <c r="K163">
        <v>16.3</v>
      </c>
      <c r="L163" t="s">
        <v>0</v>
      </c>
      <c r="M163">
        <v>0.40799999999999997</v>
      </c>
      <c r="N163" t="s">
        <v>1</v>
      </c>
      <c r="O163">
        <v>0.53100000000000003</v>
      </c>
      <c r="Q163">
        <v>16.3</v>
      </c>
      <c r="R163" t="s">
        <v>0</v>
      </c>
      <c r="S163">
        <v>0.39900000000000002</v>
      </c>
      <c r="T163" t="s">
        <v>1</v>
      </c>
      <c r="U163">
        <v>0.54900000000000004</v>
      </c>
      <c r="X163">
        <v>16.2</v>
      </c>
      <c r="Y163" s="1">
        <v>0.37526999999999999</v>
      </c>
      <c r="Z163" s="1">
        <v>0.56277100000000002</v>
      </c>
      <c r="AA163" s="1">
        <f t="shared" si="2"/>
        <v>0.93804100000000001</v>
      </c>
    </row>
    <row r="164" spans="1:27" x14ac:dyDescent="0.2">
      <c r="A164">
        <v>16.399999999999999</v>
      </c>
      <c r="B164" t="s">
        <v>0</v>
      </c>
      <c r="C164">
        <v>0.36499999999999999</v>
      </c>
      <c r="D164" t="s">
        <v>1</v>
      </c>
      <c r="E164">
        <v>0.56599999999999995</v>
      </c>
      <c r="G164">
        <v>16.399999999999999</v>
      </c>
      <c r="H164">
        <v>0.36499999999999999</v>
      </c>
      <c r="I164">
        <v>0.56599999999999995</v>
      </c>
      <c r="K164">
        <v>16.399999999999999</v>
      </c>
      <c r="L164" t="s">
        <v>0</v>
      </c>
      <c r="M164">
        <v>0.38800000000000001</v>
      </c>
      <c r="N164" t="s">
        <v>1</v>
      </c>
      <c r="O164">
        <v>0.55900000000000005</v>
      </c>
      <c r="Q164">
        <v>16.399999999999999</v>
      </c>
      <c r="R164" t="s">
        <v>0</v>
      </c>
      <c r="S164">
        <v>0.49199999999999999</v>
      </c>
      <c r="T164" t="s">
        <v>1</v>
      </c>
      <c r="U164">
        <v>0.46100000000000002</v>
      </c>
      <c r="X164">
        <v>16.3</v>
      </c>
      <c r="Y164" s="1">
        <v>0.37837399999999999</v>
      </c>
      <c r="Z164" s="1">
        <v>0.55979400000000001</v>
      </c>
      <c r="AA164" s="1">
        <f t="shared" si="2"/>
        <v>0.938168</v>
      </c>
    </row>
    <row r="165" spans="1:27" x14ac:dyDescent="0.2">
      <c r="A165">
        <v>16.5</v>
      </c>
      <c r="B165" t="s">
        <v>0</v>
      </c>
      <c r="C165">
        <v>0.38100000000000001</v>
      </c>
      <c r="D165" t="s">
        <v>1</v>
      </c>
      <c r="E165">
        <v>0.55600000000000005</v>
      </c>
      <c r="G165">
        <v>16.5</v>
      </c>
      <c r="H165">
        <v>0.38100000000000001</v>
      </c>
      <c r="I165">
        <v>0.55600000000000005</v>
      </c>
      <c r="K165">
        <v>16.5</v>
      </c>
      <c r="L165" t="s">
        <v>0</v>
      </c>
      <c r="M165">
        <v>0.38200000000000001</v>
      </c>
      <c r="N165" t="s">
        <v>1</v>
      </c>
      <c r="O165">
        <v>0.55000000000000004</v>
      </c>
      <c r="Q165">
        <v>16.5</v>
      </c>
      <c r="R165" t="s">
        <v>0</v>
      </c>
      <c r="S165">
        <v>0.36</v>
      </c>
      <c r="T165" t="s">
        <v>1</v>
      </c>
      <c r="U165">
        <v>0.57399999999999995</v>
      </c>
      <c r="X165">
        <v>16.399999999999999</v>
      </c>
      <c r="Y165" s="1">
        <v>0.38295400000000002</v>
      </c>
      <c r="Z165" s="1">
        <v>0.55605599999999999</v>
      </c>
      <c r="AA165" s="1">
        <f t="shared" si="2"/>
        <v>0.93901000000000001</v>
      </c>
    </row>
    <row r="166" spans="1:27" x14ac:dyDescent="0.2">
      <c r="A166">
        <v>16.600000000000001</v>
      </c>
      <c r="B166" t="s">
        <v>0</v>
      </c>
      <c r="C166">
        <v>0.36399999999999999</v>
      </c>
      <c r="D166" t="s">
        <v>1</v>
      </c>
      <c r="E166">
        <v>0.57499999999999996</v>
      </c>
      <c r="G166">
        <v>16.600000000000001</v>
      </c>
      <c r="H166">
        <v>0.36399999999999999</v>
      </c>
      <c r="I166">
        <v>0.57499999999999996</v>
      </c>
      <c r="K166">
        <v>16.600000000000001</v>
      </c>
      <c r="L166" t="s">
        <v>0</v>
      </c>
      <c r="M166">
        <v>0.41899999999999998</v>
      </c>
      <c r="N166" t="s">
        <v>1</v>
      </c>
      <c r="O166">
        <v>0.52400000000000002</v>
      </c>
      <c r="Q166">
        <v>16.600000000000001</v>
      </c>
      <c r="R166" t="s">
        <v>0</v>
      </c>
      <c r="S166">
        <v>0.36399999999999999</v>
      </c>
      <c r="T166" t="s">
        <v>1</v>
      </c>
      <c r="U166">
        <v>0.57999999999999996</v>
      </c>
      <c r="X166">
        <v>16.5</v>
      </c>
      <c r="Y166" s="1">
        <v>0.38612200000000002</v>
      </c>
      <c r="Z166" s="1">
        <v>0.55354800000000004</v>
      </c>
      <c r="AA166" s="1">
        <f t="shared" si="2"/>
        <v>0.93967000000000001</v>
      </c>
    </row>
    <row r="167" spans="1:27" x14ac:dyDescent="0.2">
      <c r="A167">
        <v>16.7</v>
      </c>
      <c r="B167" t="s">
        <v>0</v>
      </c>
      <c r="C167">
        <v>0.36499999999999999</v>
      </c>
      <c r="D167" t="s">
        <v>1</v>
      </c>
      <c r="E167">
        <v>0.56599999999999995</v>
      </c>
      <c r="G167">
        <v>16.7</v>
      </c>
      <c r="H167">
        <v>0.36499999999999999</v>
      </c>
      <c r="I167">
        <v>0.56599999999999995</v>
      </c>
      <c r="K167">
        <v>16.7</v>
      </c>
      <c r="L167" t="s">
        <v>0</v>
      </c>
      <c r="M167">
        <v>0.40100000000000002</v>
      </c>
      <c r="N167" t="s">
        <v>1</v>
      </c>
      <c r="O167">
        <v>0.54100000000000004</v>
      </c>
      <c r="Q167">
        <v>16.7</v>
      </c>
      <c r="R167" t="s">
        <v>0</v>
      </c>
      <c r="S167">
        <v>0.378</v>
      </c>
      <c r="T167" t="s">
        <v>1</v>
      </c>
      <c r="U167">
        <v>0.56299999999999994</v>
      </c>
      <c r="X167">
        <v>16.600000000000001</v>
      </c>
      <c r="Y167" s="1">
        <v>0.38835799999999998</v>
      </c>
      <c r="Z167" s="1">
        <v>0.55134899999999998</v>
      </c>
      <c r="AA167" s="1">
        <f t="shared" si="2"/>
        <v>0.93970699999999996</v>
      </c>
    </row>
    <row r="168" spans="1:27" x14ac:dyDescent="0.2">
      <c r="A168">
        <v>16.8</v>
      </c>
      <c r="B168" t="s">
        <v>0</v>
      </c>
      <c r="C168">
        <v>0.36499999999999999</v>
      </c>
      <c r="D168" t="s">
        <v>1</v>
      </c>
      <c r="E168">
        <v>0.56999999999999995</v>
      </c>
      <c r="G168">
        <v>16.8</v>
      </c>
      <c r="H168">
        <v>0.36499999999999999</v>
      </c>
      <c r="I168">
        <v>0.56999999999999995</v>
      </c>
      <c r="K168">
        <v>16.8</v>
      </c>
      <c r="L168" t="s">
        <v>0</v>
      </c>
      <c r="M168">
        <v>0.38100000000000001</v>
      </c>
      <c r="N168" t="s">
        <v>1</v>
      </c>
      <c r="O168">
        <v>0.55800000000000005</v>
      </c>
      <c r="Q168">
        <v>16.8</v>
      </c>
      <c r="R168" t="s">
        <v>0</v>
      </c>
      <c r="S168">
        <v>0.372</v>
      </c>
      <c r="T168" t="s">
        <v>1</v>
      </c>
      <c r="U168">
        <v>0.56399999999999995</v>
      </c>
      <c r="X168">
        <v>16.7</v>
      </c>
      <c r="Y168" s="1">
        <v>0.39301000000000003</v>
      </c>
      <c r="Z168" s="1">
        <v>0.54747199999999996</v>
      </c>
      <c r="AA168" s="1">
        <f t="shared" si="2"/>
        <v>0.94048200000000004</v>
      </c>
    </row>
    <row r="169" spans="1:27" x14ac:dyDescent="0.2">
      <c r="A169">
        <v>16.899999999999999</v>
      </c>
      <c r="B169" t="s">
        <v>0</v>
      </c>
      <c r="C169">
        <v>0.40300000000000002</v>
      </c>
      <c r="D169" t="s">
        <v>1</v>
      </c>
      <c r="E169">
        <v>0.54300000000000004</v>
      </c>
      <c r="G169">
        <v>16.899999999999999</v>
      </c>
      <c r="H169">
        <v>0.40300000000000002</v>
      </c>
      <c r="I169">
        <v>0.54300000000000004</v>
      </c>
      <c r="K169">
        <v>16.899999999999999</v>
      </c>
      <c r="L169" t="s">
        <v>0</v>
      </c>
      <c r="M169">
        <v>0.47399999999999998</v>
      </c>
      <c r="N169" t="s">
        <v>1</v>
      </c>
      <c r="O169">
        <v>0.47499999999999998</v>
      </c>
      <c r="Q169">
        <v>16.899999999999999</v>
      </c>
      <c r="R169" t="s">
        <v>0</v>
      </c>
      <c r="S169">
        <v>0.38100000000000001</v>
      </c>
      <c r="T169" t="s">
        <v>1</v>
      </c>
      <c r="U169">
        <v>0.55300000000000005</v>
      </c>
      <c r="X169">
        <v>16.8</v>
      </c>
      <c r="Y169" s="1">
        <v>0.393957</v>
      </c>
      <c r="Z169" s="1">
        <v>0.54675200000000002</v>
      </c>
      <c r="AA169" s="1">
        <f t="shared" si="2"/>
        <v>0.94070900000000002</v>
      </c>
    </row>
    <row r="170" spans="1:27" x14ac:dyDescent="0.2">
      <c r="A170">
        <v>17</v>
      </c>
      <c r="B170" t="s">
        <v>0</v>
      </c>
      <c r="C170">
        <v>0.372</v>
      </c>
      <c r="D170" t="s">
        <v>1</v>
      </c>
      <c r="E170">
        <v>0.57599999999999996</v>
      </c>
      <c r="G170">
        <v>17</v>
      </c>
      <c r="H170">
        <v>0.372</v>
      </c>
      <c r="I170">
        <v>0.57599999999999996</v>
      </c>
      <c r="K170">
        <v>17</v>
      </c>
      <c r="L170" t="s">
        <v>0</v>
      </c>
      <c r="M170">
        <v>0.372</v>
      </c>
      <c r="N170" t="s">
        <v>1</v>
      </c>
      <c r="O170">
        <v>0.54900000000000004</v>
      </c>
      <c r="Q170">
        <v>17</v>
      </c>
      <c r="R170" t="s">
        <v>0</v>
      </c>
      <c r="S170">
        <v>0.35</v>
      </c>
      <c r="T170" t="s">
        <v>1</v>
      </c>
      <c r="U170">
        <v>0.56499999999999995</v>
      </c>
      <c r="X170">
        <v>16.899999999999999</v>
      </c>
      <c r="Y170" s="1">
        <v>0.39546500000000001</v>
      </c>
      <c r="Z170" s="1">
        <v>0.54525000000000001</v>
      </c>
      <c r="AA170" s="1">
        <f t="shared" si="2"/>
        <v>0.94071499999999997</v>
      </c>
    </row>
    <row r="171" spans="1:27" x14ac:dyDescent="0.2">
      <c r="A171">
        <v>17.100000000000001</v>
      </c>
      <c r="B171" t="s">
        <v>0</v>
      </c>
      <c r="C171">
        <v>0.41599999999999998</v>
      </c>
      <c r="D171" t="s">
        <v>1</v>
      </c>
      <c r="E171">
        <v>0.52500000000000002</v>
      </c>
      <c r="G171">
        <v>17.100000000000001</v>
      </c>
      <c r="H171">
        <v>0.41599999999999998</v>
      </c>
      <c r="I171">
        <v>0.52500000000000002</v>
      </c>
      <c r="K171">
        <v>17.100000000000001</v>
      </c>
      <c r="L171" t="s">
        <v>0</v>
      </c>
      <c r="M171">
        <v>0.41799999999999998</v>
      </c>
      <c r="N171" t="s">
        <v>1</v>
      </c>
      <c r="O171">
        <v>0.51900000000000002</v>
      </c>
      <c r="Q171">
        <v>17.100000000000001</v>
      </c>
      <c r="R171" t="s">
        <v>0</v>
      </c>
      <c r="S171">
        <v>0.38500000000000001</v>
      </c>
      <c r="T171" t="s">
        <v>1</v>
      </c>
      <c r="U171">
        <v>0.55000000000000004</v>
      </c>
      <c r="X171">
        <v>17</v>
      </c>
      <c r="Y171" s="1">
        <v>0.39938800000000002</v>
      </c>
      <c r="Z171" s="1">
        <v>0.54175899999999999</v>
      </c>
      <c r="AA171" s="1">
        <f t="shared" si="2"/>
        <v>0.94114699999999996</v>
      </c>
    </row>
    <row r="172" spans="1:27" x14ac:dyDescent="0.2">
      <c r="A172">
        <v>17.2</v>
      </c>
      <c r="B172" t="s">
        <v>0</v>
      </c>
      <c r="C172">
        <v>0.41499999999999998</v>
      </c>
      <c r="D172" t="s">
        <v>1</v>
      </c>
      <c r="E172">
        <v>0.53700000000000003</v>
      </c>
      <c r="G172">
        <v>17.2</v>
      </c>
      <c r="H172">
        <v>0.41499999999999998</v>
      </c>
      <c r="I172">
        <v>0.53700000000000003</v>
      </c>
      <c r="K172">
        <v>17.2</v>
      </c>
      <c r="L172" t="s">
        <v>0</v>
      </c>
      <c r="M172">
        <v>0.36599999999999999</v>
      </c>
      <c r="N172" t="s">
        <v>1</v>
      </c>
      <c r="O172">
        <v>0.57699999999999996</v>
      </c>
      <c r="Q172">
        <v>17.2</v>
      </c>
      <c r="R172" t="s">
        <v>0</v>
      </c>
      <c r="S172">
        <v>0.40500000000000003</v>
      </c>
      <c r="T172" t="s">
        <v>1</v>
      </c>
      <c r="U172">
        <v>0.53900000000000003</v>
      </c>
      <c r="X172">
        <v>17.100000000000001</v>
      </c>
      <c r="Y172" s="1">
        <v>0.40324500000000002</v>
      </c>
      <c r="Z172" s="1">
        <v>0.53844999999999998</v>
      </c>
      <c r="AA172" s="1">
        <f t="shared" si="2"/>
        <v>0.94169499999999995</v>
      </c>
    </row>
    <row r="173" spans="1:27" x14ac:dyDescent="0.2">
      <c r="A173">
        <v>17.3</v>
      </c>
      <c r="B173" t="s">
        <v>0</v>
      </c>
      <c r="C173">
        <v>0.42399999999999999</v>
      </c>
      <c r="D173" t="s">
        <v>1</v>
      </c>
      <c r="E173">
        <v>0.51300000000000001</v>
      </c>
      <c r="G173">
        <v>17.3</v>
      </c>
      <c r="H173">
        <v>0.42399999999999999</v>
      </c>
      <c r="I173">
        <v>0.51300000000000001</v>
      </c>
      <c r="K173">
        <v>17.3</v>
      </c>
      <c r="L173" t="s">
        <v>0</v>
      </c>
      <c r="M173">
        <v>0.41299999999999998</v>
      </c>
      <c r="N173" t="s">
        <v>1</v>
      </c>
      <c r="O173">
        <v>0.53300000000000003</v>
      </c>
      <c r="Q173">
        <v>17.3</v>
      </c>
      <c r="R173" t="s">
        <v>0</v>
      </c>
      <c r="S173">
        <v>0.39800000000000002</v>
      </c>
      <c r="T173" t="s">
        <v>1</v>
      </c>
      <c r="U173">
        <v>0.54100000000000004</v>
      </c>
      <c r="X173">
        <v>17.2</v>
      </c>
      <c r="Y173" s="1">
        <v>0.405198</v>
      </c>
      <c r="Z173" s="1">
        <v>0.53675099999999998</v>
      </c>
      <c r="AA173" s="1">
        <f t="shared" si="2"/>
        <v>0.94194899999999993</v>
      </c>
    </row>
    <row r="174" spans="1:27" x14ac:dyDescent="0.2">
      <c r="A174">
        <v>17.399999999999999</v>
      </c>
      <c r="B174" t="s">
        <v>0</v>
      </c>
      <c r="C174">
        <v>0.40500000000000003</v>
      </c>
      <c r="D174" t="s">
        <v>1</v>
      </c>
      <c r="E174">
        <v>0.53400000000000003</v>
      </c>
      <c r="G174">
        <v>17.399999999999999</v>
      </c>
      <c r="H174">
        <v>0.40500000000000003</v>
      </c>
      <c r="I174">
        <v>0.53400000000000003</v>
      </c>
      <c r="K174">
        <v>17.399999999999999</v>
      </c>
      <c r="L174" t="s">
        <v>0</v>
      </c>
      <c r="M174">
        <v>0.38200000000000001</v>
      </c>
      <c r="N174" t="s">
        <v>1</v>
      </c>
      <c r="O174">
        <v>0.56499999999999995</v>
      </c>
      <c r="Q174">
        <v>17.399999999999999</v>
      </c>
      <c r="R174" t="s">
        <v>0</v>
      </c>
      <c r="S174">
        <v>0.41399999999999998</v>
      </c>
      <c r="T174" t="s">
        <v>1</v>
      </c>
      <c r="U174">
        <v>0.53500000000000003</v>
      </c>
      <c r="X174">
        <v>17.3</v>
      </c>
      <c r="Y174" s="1">
        <v>0.40768799999999999</v>
      </c>
      <c r="Z174" s="1">
        <v>0.53458799999999995</v>
      </c>
      <c r="AA174" s="1">
        <f t="shared" si="2"/>
        <v>0.94227599999999989</v>
      </c>
    </row>
    <row r="175" spans="1:27" x14ac:dyDescent="0.2">
      <c r="A175">
        <v>17.5</v>
      </c>
      <c r="B175" t="s">
        <v>0</v>
      </c>
      <c r="C175">
        <v>0.38800000000000001</v>
      </c>
      <c r="D175" t="s">
        <v>1</v>
      </c>
      <c r="E175">
        <v>0.55600000000000005</v>
      </c>
      <c r="G175">
        <v>17.5</v>
      </c>
      <c r="H175">
        <v>0.38800000000000001</v>
      </c>
      <c r="I175">
        <v>0.55600000000000005</v>
      </c>
      <c r="K175">
        <v>17.5</v>
      </c>
      <c r="L175" t="s">
        <v>0</v>
      </c>
      <c r="M175">
        <v>0.46200000000000002</v>
      </c>
      <c r="N175" t="s">
        <v>1</v>
      </c>
      <c r="O175">
        <v>0.47899999999999998</v>
      </c>
      <c r="Q175">
        <v>17.5</v>
      </c>
      <c r="R175" t="s">
        <v>0</v>
      </c>
      <c r="S175">
        <v>0.41099999999999998</v>
      </c>
      <c r="T175" t="s">
        <v>1</v>
      </c>
      <c r="U175">
        <v>0.52500000000000002</v>
      </c>
      <c r="X175">
        <v>17.399999999999999</v>
      </c>
      <c r="Y175" s="1">
        <v>0.40986699999999998</v>
      </c>
      <c r="Z175" s="1">
        <v>0.53275799999999995</v>
      </c>
      <c r="AA175" s="1">
        <f t="shared" si="2"/>
        <v>0.94262499999999994</v>
      </c>
    </row>
    <row r="176" spans="1:27" x14ac:dyDescent="0.2">
      <c r="A176">
        <v>17.600000000000001</v>
      </c>
      <c r="B176" t="s">
        <v>0</v>
      </c>
      <c r="C176">
        <v>0.433</v>
      </c>
      <c r="D176" t="s">
        <v>1</v>
      </c>
      <c r="E176">
        <v>0.51700000000000002</v>
      </c>
      <c r="G176">
        <v>17.600000000000001</v>
      </c>
      <c r="H176">
        <v>0.433</v>
      </c>
      <c r="I176">
        <v>0.51700000000000002</v>
      </c>
      <c r="K176">
        <v>17.600000000000001</v>
      </c>
      <c r="L176" t="s">
        <v>0</v>
      </c>
      <c r="M176">
        <v>0.377</v>
      </c>
      <c r="N176" t="s">
        <v>1</v>
      </c>
      <c r="O176">
        <v>0.55000000000000004</v>
      </c>
      <c r="Q176">
        <v>17.600000000000001</v>
      </c>
      <c r="R176" t="s">
        <v>0</v>
      </c>
      <c r="S176">
        <v>0.38900000000000001</v>
      </c>
      <c r="T176" t="s">
        <v>1</v>
      </c>
      <c r="U176">
        <v>0.55200000000000005</v>
      </c>
      <c r="X176">
        <v>17.5</v>
      </c>
      <c r="Y176" s="1">
        <v>0.41112799999999999</v>
      </c>
      <c r="Z176" s="1">
        <v>0.53167799999999998</v>
      </c>
      <c r="AA176" s="1">
        <f t="shared" si="2"/>
        <v>0.94280600000000003</v>
      </c>
    </row>
    <row r="177" spans="1:27" x14ac:dyDescent="0.2">
      <c r="A177">
        <v>17.7</v>
      </c>
      <c r="B177" t="s">
        <v>0</v>
      </c>
      <c r="C177">
        <v>0.42799999999999999</v>
      </c>
      <c r="D177" t="s">
        <v>1</v>
      </c>
      <c r="E177">
        <v>0.52400000000000002</v>
      </c>
      <c r="G177">
        <v>17.7</v>
      </c>
      <c r="H177">
        <v>0.42799999999999999</v>
      </c>
      <c r="I177">
        <v>0.52400000000000002</v>
      </c>
      <c r="K177">
        <v>17.7</v>
      </c>
      <c r="L177" t="s">
        <v>0</v>
      </c>
      <c r="M177">
        <v>0.378</v>
      </c>
      <c r="N177" t="s">
        <v>1</v>
      </c>
      <c r="O177">
        <v>0.54600000000000004</v>
      </c>
      <c r="Q177">
        <v>17.7</v>
      </c>
      <c r="R177" t="s">
        <v>0</v>
      </c>
      <c r="S177">
        <v>0.42199999999999999</v>
      </c>
      <c r="T177" t="s">
        <v>1</v>
      </c>
      <c r="U177">
        <v>0.52</v>
      </c>
      <c r="X177">
        <v>17.600000000000001</v>
      </c>
      <c r="Y177" s="1">
        <v>0.41542200000000001</v>
      </c>
      <c r="Z177" s="1">
        <v>0.52784600000000004</v>
      </c>
      <c r="AA177" s="1">
        <f t="shared" si="2"/>
        <v>0.943268</v>
      </c>
    </row>
    <row r="178" spans="1:27" x14ac:dyDescent="0.2">
      <c r="A178">
        <v>17.8</v>
      </c>
      <c r="B178" t="s">
        <v>0</v>
      </c>
      <c r="C178">
        <v>0.39200000000000002</v>
      </c>
      <c r="D178" t="s">
        <v>1</v>
      </c>
      <c r="E178">
        <v>0.53900000000000003</v>
      </c>
      <c r="G178">
        <v>17.8</v>
      </c>
      <c r="H178">
        <v>0.39200000000000002</v>
      </c>
      <c r="I178">
        <v>0.53900000000000003</v>
      </c>
      <c r="K178">
        <v>17.8</v>
      </c>
      <c r="L178" t="s">
        <v>0</v>
      </c>
      <c r="M178">
        <v>0.40300000000000002</v>
      </c>
      <c r="N178" t="s">
        <v>1</v>
      </c>
      <c r="O178">
        <v>0.53500000000000003</v>
      </c>
      <c r="Q178">
        <v>17.8</v>
      </c>
      <c r="R178" t="s">
        <v>0</v>
      </c>
      <c r="S178">
        <v>0.41499999999999998</v>
      </c>
      <c r="T178" t="s">
        <v>1</v>
      </c>
      <c r="U178">
        <v>0.52900000000000003</v>
      </c>
      <c r="X178">
        <v>17.7</v>
      </c>
      <c r="Y178" s="1">
        <v>0.41722599999999999</v>
      </c>
      <c r="Z178" s="1">
        <v>0.52623500000000001</v>
      </c>
      <c r="AA178" s="1">
        <f t="shared" si="2"/>
        <v>0.94346099999999999</v>
      </c>
    </row>
    <row r="179" spans="1:27" x14ac:dyDescent="0.2">
      <c r="A179">
        <v>17.899999999999999</v>
      </c>
      <c r="B179" t="s">
        <v>0</v>
      </c>
      <c r="C179">
        <v>0.43099999999999999</v>
      </c>
      <c r="D179" t="s">
        <v>1</v>
      </c>
      <c r="E179">
        <v>0.50800000000000001</v>
      </c>
      <c r="G179">
        <v>17.899999999999999</v>
      </c>
      <c r="H179">
        <v>0.43099999999999999</v>
      </c>
      <c r="I179">
        <v>0.50800000000000001</v>
      </c>
      <c r="K179">
        <v>17.899999999999999</v>
      </c>
      <c r="L179" t="s">
        <v>0</v>
      </c>
      <c r="M179">
        <v>0.41799999999999998</v>
      </c>
      <c r="N179" t="s">
        <v>1</v>
      </c>
      <c r="O179">
        <v>0.52900000000000003</v>
      </c>
      <c r="Q179">
        <v>17.899999999999999</v>
      </c>
      <c r="R179" t="s">
        <v>0</v>
      </c>
      <c r="S179">
        <v>0.433</v>
      </c>
      <c r="T179" t="s">
        <v>1</v>
      </c>
      <c r="U179">
        <v>0.505</v>
      </c>
      <c r="X179">
        <v>17.8</v>
      </c>
      <c r="Y179" s="1">
        <v>0.42012500000000003</v>
      </c>
      <c r="Z179" s="1">
        <v>0.52385199999999998</v>
      </c>
      <c r="AA179" s="1">
        <f t="shared" si="2"/>
        <v>0.94397700000000007</v>
      </c>
    </row>
    <row r="180" spans="1:27" x14ac:dyDescent="0.2">
      <c r="A180">
        <v>18</v>
      </c>
      <c r="B180" t="s">
        <v>0</v>
      </c>
      <c r="C180">
        <v>0.378</v>
      </c>
      <c r="D180" t="s">
        <v>1</v>
      </c>
      <c r="E180">
        <v>0.55600000000000005</v>
      </c>
      <c r="G180">
        <v>18</v>
      </c>
      <c r="H180">
        <v>0.378</v>
      </c>
      <c r="I180">
        <v>0.55600000000000005</v>
      </c>
      <c r="K180">
        <v>18</v>
      </c>
      <c r="L180" t="s">
        <v>0</v>
      </c>
      <c r="M180">
        <v>0.45100000000000001</v>
      </c>
      <c r="N180" t="s">
        <v>1</v>
      </c>
      <c r="O180">
        <v>0.498</v>
      </c>
      <c r="Q180">
        <v>18</v>
      </c>
      <c r="R180" t="s">
        <v>0</v>
      </c>
      <c r="S180">
        <v>0.46700000000000003</v>
      </c>
      <c r="T180" t="s">
        <v>1</v>
      </c>
      <c r="U180">
        <v>0.47799999999999998</v>
      </c>
      <c r="X180">
        <v>17.899999999999999</v>
      </c>
      <c r="Y180" s="1">
        <v>0.42269299999999999</v>
      </c>
      <c r="Z180" s="1">
        <v>0.52174100000000001</v>
      </c>
      <c r="AA180" s="1">
        <f t="shared" si="2"/>
        <v>0.944434</v>
      </c>
    </row>
    <row r="181" spans="1:27" x14ac:dyDescent="0.2">
      <c r="A181">
        <v>18.100000000000001</v>
      </c>
      <c r="B181" t="s">
        <v>0</v>
      </c>
      <c r="C181">
        <v>0.379</v>
      </c>
      <c r="D181" t="s">
        <v>1</v>
      </c>
      <c r="E181">
        <v>0.56200000000000006</v>
      </c>
      <c r="G181">
        <v>18.100000000000001</v>
      </c>
      <c r="H181">
        <v>0.379</v>
      </c>
      <c r="I181">
        <v>0.56200000000000006</v>
      </c>
      <c r="K181">
        <v>18.100000000000001</v>
      </c>
      <c r="L181" t="s">
        <v>0</v>
      </c>
      <c r="M181">
        <v>0.34899999999999998</v>
      </c>
      <c r="N181" t="s">
        <v>1</v>
      </c>
      <c r="O181">
        <v>0.58699999999999997</v>
      </c>
      <c r="Q181">
        <v>18.100000000000001</v>
      </c>
      <c r="R181" t="s">
        <v>0</v>
      </c>
      <c r="S181">
        <v>0.378</v>
      </c>
      <c r="T181" t="s">
        <v>1</v>
      </c>
      <c r="U181">
        <v>0.55100000000000005</v>
      </c>
      <c r="X181">
        <v>18</v>
      </c>
      <c r="Y181" s="1">
        <v>0.42562899999999998</v>
      </c>
      <c r="Z181" s="1">
        <v>0.518787</v>
      </c>
      <c r="AA181" s="1">
        <f t="shared" si="2"/>
        <v>0.94441599999999992</v>
      </c>
    </row>
    <row r="182" spans="1:27" x14ac:dyDescent="0.2">
      <c r="A182">
        <v>18.2</v>
      </c>
      <c r="B182" t="s">
        <v>0</v>
      </c>
      <c r="C182">
        <v>0.45100000000000001</v>
      </c>
      <c r="D182" t="s">
        <v>1</v>
      </c>
      <c r="E182">
        <v>0.50800000000000001</v>
      </c>
      <c r="G182">
        <v>18.2</v>
      </c>
      <c r="H182">
        <v>0.45100000000000001</v>
      </c>
      <c r="I182">
        <v>0.50800000000000001</v>
      </c>
      <c r="K182">
        <v>18.2</v>
      </c>
      <c r="L182" t="s">
        <v>0</v>
      </c>
      <c r="M182">
        <v>0.46</v>
      </c>
      <c r="N182" t="s">
        <v>1</v>
      </c>
      <c r="O182">
        <v>0.48599999999999999</v>
      </c>
      <c r="Q182">
        <v>18.2</v>
      </c>
      <c r="R182" t="s">
        <v>0</v>
      </c>
      <c r="S182">
        <v>0.45600000000000002</v>
      </c>
      <c r="T182" t="s">
        <v>1</v>
      </c>
      <c r="U182">
        <v>0.503</v>
      </c>
      <c r="X182">
        <v>18.100000000000001</v>
      </c>
      <c r="Y182" s="1">
        <v>0.42635499999999998</v>
      </c>
      <c r="Z182" s="1">
        <v>0.51817199999999997</v>
      </c>
      <c r="AA182" s="1">
        <f t="shared" si="2"/>
        <v>0.94452699999999989</v>
      </c>
    </row>
    <row r="183" spans="1:27" x14ac:dyDescent="0.2">
      <c r="A183">
        <v>18.3</v>
      </c>
      <c r="B183" t="s">
        <v>0</v>
      </c>
      <c r="C183">
        <v>0.40100000000000002</v>
      </c>
      <c r="D183" t="s">
        <v>1</v>
      </c>
      <c r="E183">
        <v>0.54700000000000004</v>
      </c>
      <c r="G183">
        <v>18.3</v>
      </c>
      <c r="H183">
        <v>0.40100000000000002</v>
      </c>
      <c r="I183">
        <v>0.54700000000000004</v>
      </c>
      <c r="K183">
        <v>18.3</v>
      </c>
      <c r="L183" t="s">
        <v>0</v>
      </c>
      <c r="M183">
        <v>0.41899999999999998</v>
      </c>
      <c r="N183" t="s">
        <v>1</v>
      </c>
      <c r="O183">
        <v>0.52700000000000002</v>
      </c>
      <c r="Q183">
        <v>18.3</v>
      </c>
      <c r="R183" t="s">
        <v>0</v>
      </c>
      <c r="S183">
        <v>0.41</v>
      </c>
      <c r="T183" t="s">
        <v>1</v>
      </c>
      <c r="U183">
        <v>0.53100000000000003</v>
      </c>
      <c r="X183">
        <v>18.2</v>
      </c>
      <c r="Y183" s="1">
        <v>0.42965500000000001</v>
      </c>
      <c r="Z183" s="1">
        <v>0.51536499999999996</v>
      </c>
      <c r="AA183" s="1">
        <f t="shared" si="2"/>
        <v>0.94501999999999997</v>
      </c>
    </row>
    <row r="184" spans="1:27" x14ac:dyDescent="0.2">
      <c r="A184">
        <v>18.399999999999999</v>
      </c>
      <c r="B184" t="s">
        <v>0</v>
      </c>
      <c r="C184">
        <v>0.434</v>
      </c>
      <c r="D184" t="s">
        <v>1</v>
      </c>
      <c r="E184">
        <v>0.50800000000000001</v>
      </c>
      <c r="G184">
        <v>18.399999999999999</v>
      </c>
      <c r="H184">
        <v>0.434</v>
      </c>
      <c r="I184">
        <v>0.50800000000000001</v>
      </c>
      <c r="K184">
        <v>18.399999999999999</v>
      </c>
      <c r="L184" t="s">
        <v>0</v>
      </c>
      <c r="M184">
        <v>0.42099999999999999</v>
      </c>
      <c r="N184" t="s">
        <v>1</v>
      </c>
      <c r="O184">
        <v>0.53800000000000003</v>
      </c>
      <c r="Q184">
        <v>18.399999999999999</v>
      </c>
      <c r="R184" t="s">
        <v>0</v>
      </c>
      <c r="S184">
        <v>0.42399999999999999</v>
      </c>
      <c r="T184" t="s">
        <v>1</v>
      </c>
      <c r="U184">
        <v>0.52100000000000002</v>
      </c>
      <c r="X184">
        <v>18.3</v>
      </c>
      <c r="Y184" s="1">
        <v>0.43248399999999998</v>
      </c>
      <c r="Z184" s="1">
        <v>0.51273999999999997</v>
      </c>
      <c r="AA184" s="1">
        <f t="shared" si="2"/>
        <v>0.94522399999999995</v>
      </c>
    </row>
    <row r="185" spans="1:27" x14ac:dyDescent="0.2">
      <c r="A185">
        <v>18.5</v>
      </c>
      <c r="B185" t="s">
        <v>0</v>
      </c>
      <c r="C185">
        <v>0.436</v>
      </c>
      <c r="D185" t="s">
        <v>1</v>
      </c>
      <c r="E185">
        <v>0.50700000000000001</v>
      </c>
      <c r="G185">
        <v>18.5</v>
      </c>
      <c r="H185">
        <v>0.436</v>
      </c>
      <c r="I185">
        <v>0.50700000000000001</v>
      </c>
      <c r="K185">
        <v>18.5</v>
      </c>
      <c r="L185" t="s">
        <v>0</v>
      </c>
      <c r="M185">
        <v>0.43099999999999999</v>
      </c>
      <c r="N185" t="s">
        <v>1</v>
      </c>
      <c r="O185">
        <v>0.51100000000000001</v>
      </c>
      <c r="Q185">
        <v>18.5</v>
      </c>
      <c r="R185" t="s">
        <v>0</v>
      </c>
      <c r="S185">
        <v>0.40699999999999997</v>
      </c>
      <c r="T185" t="s">
        <v>1</v>
      </c>
      <c r="U185">
        <v>0.54600000000000004</v>
      </c>
      <c r="X185">
        <v>18.399999999999999</v>
      </c>
      <c r="Y185" s="1">
        <v>0.43406600000000001</v>
      </c>
      <c r="Z185" s="1">
        <v>0.51163400000000003</v>
      </c>
      <c r="AA185" s="1">
        <f t="shared" si="2"/>
        <v>0.94569999999999999</v>
      </c>
    </row>
    <row r="186" spans="1:27" x14ac:dyDescent="0.2">
      <c r="A186">
        <v>18.600000000000001</v>
      </c>
      <c r="B186" t="s">
        <v>0</v>
      </c>
      <c r="C186">
        <v>0.42799999999999999</v>
      </c>
      <c r="D186" t="s">
        <v>1</v>
      </c>
      <c r="E186">
        <v>0.51400000000000001</v>
      </c>
      <c r="G186">
        <v>18.600000000000001</v>
      </c>
      <c r="H186">
        <v>0.42799999999999999</v>
      </c>
      <c r="I186">
        <v>0.51400000000000001</v>
      </c>
      <c r="K186">
        <v>18.600000000000001</v>
      </c>
      <c r="L186" t="s">
        <v>0</v>
      </c>
      <c r="M186">
        <v>0.47899999999999998</v>
      </c>
      <c r="N186" t="s">
        <v>1</v>
      </c>
      <c r="O186">
        <v>0.47099999999999997</v>
      </c>
      <c r="Q186">
        <v>18.600000000000001</v>
      </c>
      <c r="R186" t="s">
        <v>0</v>
      </c>
      <c r="S186">
        <v>0.46400000000000002</v>
      </c>
      <c r="T186" t="s">
        <v>1</v>
      </c>
      <c r="U186">
        <v>0.48</v>
      </c>
      <c r="X186">
        <v>18.5</v>
      </c>
      <c r="Y186" s="1">
        <v>0.43676799999999999</v>
      </c>
      <c r="Z186" s="1">
        <v>0.50883599999999996</v>
      </c>
      <c r="AA186" s="1">
        <f t="shared" si="2"/>
        <v>0.94560399999999989</v>
      </c>
    </row>
    <row r="187" spans="1:27" x14ac:dyDescent="0.2">
      <c r="A187">
        <v>18.7</v>
      </c>
      <c r="B187" t="s">
        <v>0</v>
      </c>
      <c r="C187">
        <v>0.38100000000000001</v>
      </c>
      <c r="D187" t="s">
        <v>1</v>
      </c>
      <c r="E187">
        <v>0.55400000000000005</v>
      </c>
      <c r="G187">
        <v>18.7</v>
      </c>
      <c r="H187">
        <v>0.38100000000000001</v>
      </c>
      <c r="I187">
        <v>0.55400000000000005</v>
      </c>
      <c r="K187">
        <v>18.7</v>
      </c>
      <c r="L187" t="s">
        <v>0</v>
      </c>
      <c r="M187">
        <v>0.441</v>
      </c>
      <c r="N187" t="s">
        <v>1</v>
      </c>
      <c r="O187">
        <v>0.499</v>
      </c>
      <c r="Q187">
        <v>18.7</v>
      </c>
      <c r="R187" t="s">
        <v>0</v>
      </c>
      <c r="S187">
        <v>0.48399999999999999</v>
      </c>
      <c r="T187" t="s">
        <v>1</v>
      </c>
      <c r="U187">
        <v>0.47299999999999998</v>
      </c>
      <c r="X187">
        <v>18.600000000000001</v>
      </c>
      <c r="Y187" s="1">
        <v>0.43724000000000002</v>
      </c>
      <c r="Z187" s="1">
        <v>0.50859200000000004</v>
      </c>
      <c r="AA187" s="1">
        <f t="shared" si="2"/>
        <v>0.94583200000000001</v>
      </c>
    </row>
    <row r="188" spans="1:27" x14ac:dyDescent="0.2">
      <c r="A188">
        <v>18.8</v>
      </c>
      <c r="B188" t="s">
        <v>0</v>
      </c>
      <c r="C188">
        <v>0.44900000000000001</v>
      </c>
      <c r="D188" t="s">
        <v>1</v>
      </c>
      <c r="E188">
        <v>0.495</v>
      </c>
      <c r="G188">
        <v>18.8</v>
      </c>
      <c r="H188">
        <v>0.44900000000000001</v>
      </c>
      <c r="I188">
        <v>0.495</v>
      </c>
      <c r="K188">
        <v>18.8</v>
      </c>
      <c r="L188" t="s">
        <v>0</v>
      </c>
      <c r="M188">
        <v>0.46600000000000003</v>
      </c>
      <c r="N188" t="s">
        <v>1</v>
      </c>
      <c r="O188">
        <v>0.48599999999999999</v>
      </c>
      <c r="Q188">
        <v>18.8</v>
      </c>
      <c r="R188" t="s">
        <v>0</v>
      </c>
      <c r="S188">
        <v>0.41199999999999998</v>
      </c>
      <c r="T188" t="s">
        <v>1</v>
      </c>
      <c r="U188">
        <v>0.53</v>
      </c>
      <c r="X188">
        <v>18.7</v>
      </c>
      <c r="Y188" s="1">
        <v>0.44119399999999998</v>
      </c>
      <c r="Z188" s="1">
        <v>0.50534500000000004</v>
      </c>
      <c r="AA188" s="1">
        <f t="shared" si="2"/>
        <v>0.94653900000000002</v>
      </c>
    </row>
    <row r="189" spans="1:27" x14ac:dyDescent="0.2">
      <c r="A189">
        <v>18.899999999999999</v>
      </c>
      <c r="B189" t="s">
        <v>0</v>
      </c>
      <c r="C189">
        <v>0.40100000000000002</v>
      </c>
      <c r="D189" t="s">
        <v>1</v>
      </c>
      <c r="E189">
        <v>0.55000000000000004</v>
      </c>
      <c r="G189">
        <v>18.899999999999999</v>
      </c>
      <c r="H189">
        <v>0.40100000000000002</v>
      </c>
      <c r="I189">
        <v>0.55000000000000004</v>
      </c>
      <c r="K189">
        <v>18.899999999999999</v>
      </c>
      <c r="L189" t="s">
        <v>0</v>
      </c>
      <c r="M189">
        <v>0.38600000000000001</v>
      </c>
      <c r="N189" t="s">
        <v>1</v>
      </c>
      <c r="O189">
        <v>0.53700000000000003</v>
      </c>
      <c r="Q189">
        <v>18.899999999999999</v>
      </c>
      <c r="R189" t="s">
        <v>0</v>
      </c>
      <c r="S189">
        <v>0.442</v>
      </c>
      <c r="T189" t="s">
        <v>1</v>
      </c>
      <c r="U189">
        <v>0.50900000000000001</v>
      </c>
      <c r="X189">
        <v>18.8</v>
      </c>
      <c r="Y189" s="1">
        <v>0.44428299999999998</v>
      </c>
      <c r="Z189" s="1">
        <v>0.50275499999999995</v>
      </c>
      <c r="AA189" s="1">
        <f t="shared" si="2"/>
        <v>0.94703799999999994</v>
      </c>
    </row>
    <row r="190" spans="1:27" x14ac:dyDescent="0.2">
      <c r="A190">
        <v>19</v>
      </c>
      <c r="B190" t="s">
        <v>0</v>
      </c>
      <c r="C190">
        <v>0.40100000000000002</v>
      </c>
      <c r="D190" t="s">
        <v>1</v>
      </c>
      <c r="E190">
        <v>0.53900000000000003</v>
      </c>
      <c r="G190">
        <v>19</v>
      </c>
      <c r="H190">
        <v>0.40100000000000002</v>
      </c>
      <c r="I190">
        <v>0.53900000000000003</v>
      </c>
      <c r="K190">
        <v>19</v>
      </c>
      <c r="L190" t="s">
        <v>0</v>
      </c>
      <c r="M190">
        <v>0.46300000000000002</v>
      </c>
      <c r="N190" t="s">
        <v>1</v>
      </c>
      <c r="O190">
        <v>0.48599999999999999</v>
      </c>
      <c r="Q190">
        <v>19</v>
      </c>
      <c r="R190" t="s">
        <v>0</v>
      </c>
      <c r="S190">
        <v>0.45400000000000001</v>
      </c>
      <c r="T190" t="s">
        <v>1</v>
      </c>
      <c r="U190">
        <v>0.495</v>
      </c>
      <c r="X190">
        <v>18.899999999999999</v>
      </c>
      <c r="Y190" s="1">
        <v>0.44738299999999998</v>
      </c>
      <c r="Z190" s="1">
        <v>0.50003200000000003</v>
      </c>
      <c r="AA190" s="1">
        <f t="shared" si="2"/>
        <v>0.94741500000000001</v>
      </c>
    </row>
    <row r="191" spans="1:27" x14ac:dyDescent="0.2">
      <c r="A191">
        <v>19.100000000000001</v>
      </c>
      <c r="B191" t="s">
        <v>0</v>
      </c>
      <c r="C191">
        <v>0.49199999999999999</v>
      </c>
      <c r="D191" t="s">
        <v>1</v>
      </c>
      <c r="E191">
        <v>0.46500000000000002</v>
      </c>
      <c r="G191">
        <v>19.100000000000001</v>
      </c>
      <c r="H191">
        <v>0.49199999999999999</v>
      </c>
      <c r="I191">
        <v>0.46500000000000002</v>
      </c>
      <c r="K191">
        <v>19.100000000000001</v>
      </c>
      <c r="L191" t="s">
        <v>0</v>
      </c>
      <c r="M191">
        <v>0.44900000000000001</v>
      </c>
      <c r="N191" t="s">
        <v>1</v>
      </c>
      <c r="O191">
        <v>0.49</v>
      </c>
      <c r="Q191">
        <v>19.100000000000001</v>
      </c>
      <c r="R191" t="s">
        <v>0</v>
      </c>
      <c r="S191">
        <v>0.48499999999999999</v>
      </c>
      <c r="T191" t="s">
        <v>1</v>
      </c>
      <c r="U191">
        <v>0.46800000000000003</v>
      </c>
      <c r="X191">
        <v>19</v>
      </c>
      <c r="Y191" s="1">
        <v>0.44878800000000002</v>
      </c>
      <c r="Z191" s="1">
        <v>0.498581</v>
      </c>
      <c r="AA191" s="1">
        <f t="shared" si="2"/>
        <v>0.94736900000000002</v>
      </c>
    </row>
    <row r="192" spans="1:27" x14ac:dyDescent="0.2">
      <c r="A192">
        <v>19.2</v>
      </c>
      <c r="B192" t="s">
        <v>0</v>
      </c>
      <c r="C192">
        <v>0.49</v>
      </c>
      <c r="D192" t="s">
        <v>1</v>
      </c>
      <c r="E192">
        <v>0.46800000000000003</v>
      </c>
      <c r="G192">
        <v>19.2</v>
      </c>
      <c r="H192">
        <v>0.49</v>
      </c>
      <c r="I192">
        <v>0.46800000000000003</v>
      </c>
      <c r="K192">
        <v>19.2</v>
      </c>
      <c r="L192" t="s">
        <v>0</v>
      </c>
      <c r="M192">
        <v>0.48</v>
      </c>
      <c r="N192" t="s">
        <v>1</v>
      </c>
      <c r="O192">
        <v>0.46700000000000003</v>
      </c>
      <c r="Q192">
        <v>19.2</v>
      </c>
      <c r="R192" t="s">
        <v>0</v>
      </c>
      <c r="S192">
        <v>0.45</v>
      </c>
      <c r="T192" t="s">
        <v>1</v>
      </c>
      <c r="U192">
        <v>0.48699999999999999</v>
      </c>
      <c r="X192">
        <v>19.100000000000001</v>
      </c>
      <c r="Y192" s="1">
        <v>0.45252199999999998</v>
      </c>
      <c r="Z192" s="1">
        <v>0.49536200000000002</v>
      </c>
      <c r="AA192" s="1">
        <f t="shared" si="2"/>
        <v>0.94788399999999995</v>
      </c>
    </row>
    <row r="193" spans="1:27" x14ac:dyDescent="0.2">
      <c r="A193">
        <v>19.3</v>
      </c>
      <c r="B193" t="s">
        <v>0</v>
      </c>
      <c r="C193">
        <v>0.44</v>
      </c>
      <c r="D193" t="s">
        <v>1</v>
      </c>
      <c r="E193">
        <v>0.502</v>
      </c>
      <c r="G193">
        <v>19.3</v>
      </c>
      <c r="H193">
        <v>0.44</v>
      </c>
      <c r="I193">
        <v>0.502</v>
      </c>
      <c r="K193">
        <v>19.3</v>
      </c>
      <c r="L193" t="s">
        <v>0</v>
      </c>
      <c r="M193">
        <v>0.44900000000000001</v>
      </c>
      <c r="N193" t="s">
        <v>1</v>
      </c>
      <c r="O193">
        <v>0.49199999999999999</v>
      </c>
      <c r="Q193">
        <v>19.3</v>
      </c>
      <c r="R193" t="s">
        <v>0</v>
      </c>
      <c r="S193">
        <v>0.46600000000000003</v>
      </c>
      <c r="T193" t="s">
        <v>1</v>
      </c>
      <c r="U193">
        <v>0.48599999999999999</v>
      </c>
      <c r="X193">
        <v>19.2</v>
      </c>
      <c r="Y193" s="1">
        <v>0.45242700000000002</v>
      </c>
      <c r="Z193" s="1">
        <v>0.49562400000000001</v>
      </c>
      <c r="AA193" s="1">
        <f t="shared" si="2"/>
        <v>0.94805099999999998</v>
      </c>
    </row>
    <row r="194" spans="1:27" x14ac:dyDescent="0.2">
      <c r="A194">
        <v>19.399999999999999</v>
      </c>
      <c r="B194" t="s">
        <v>0</v>
      </c>
      <c r="C194">
        <v>0.47299999999999998</v>
      </c>
      <c r="D194" t="s">
        <v>1</v>
      </c>
      <c r="E194">
        <v>0.47399999999999998</v>
      </c>
      <c r="G194">
        <v>19.399999999999999</v>
      </c>
      <c r="H194">
        <v>0.47299999999999998</v>
      </c>
      <c r="I194">
        <v>0.47399999999999998</v>
      </c>
      <c r="K194">
        <v>19.399999999999999</v>
      </c>
      <c r="L194" t="s">
        <v>0</v>
      </c>
      <c r="M194">
        <v>0.44700000000000001</v>
      </c>
      <c r="N194" t="s">
        <v>1</v>
      </c>
      <c r="O194">
        <v>0.504</v>
      </c>
      <c r="Q194">
        <v>19.399999999999999</v>
      </c>
      <c r="R194" t="s">
        <v>0</v>
      </c>
      <c r="S194">
        <v>0.40300000000000002</v>
      </c>
      <c r="T194" t="s">
        <v>1</v>
      </c>
      <c r="U194">
        <v>0.54400000000000004</v>
      </c>
      <c r="X194">
        <v>19.3</v>
      </c>
      <c r="Y194" s="1">
        <v>0.455652</v>
      </c>
      <c r="Z194" s="1">
        <v>0.49311300000000002</v>
      </c>
      <c r="AA194" s="1">
        <f t="shared" si="2"/>
        <v>0.94876500000000008</v>
      </c>
    </row>
    <row r="195" spans="1:27" x14ac:dyDescent="0.2">
      <c r="A195">
        <v>19.5</v>
      </c>
      <c r="B195" t="s">
        <v>0</v>
      </c>
      <c r="C195">
        <v>0.42599999999999999</v>
      </c>
      <c r="D195" t="s">
        <v>1</v>
      </c>
      <c r="E195">
        <v>0.51200000000000001</v>
      </c>
      <c r="G195">
        <v>19.5</v>
      </c>
      <c r="H195">
        <v>0.42599999999999999</v>
      </c>
      <c r="I195">
        <v>0.51200000000000001</v>
      </c>
      <c r="K195">
        <v>19.5</v>
      </c>
      <c r="L195" t="s">
        <v>0</v>
      </c>
      <c r="M195">
        <v>0.44600000000000001</v>
      </c>
      <c r="N195" t="s">
        <v>1</v>
      </c>
      <c r="O195">
        <v>0.504</v>
      </c>
      <c r="Q195">
        <v>19.5</v>
      </c>
      <c r="R195" t="s">
        <v>0</v>
      </c>
      <c r="S195">
        <v>0.42699999999999999</v>
      </c>
      <c r="T195" t="s">
        <v>1</v>
      </c>
      <c r="U195">
        <v>0.52400000000000002</v>
      </c>
      <c r="X195">
        <v>19.399999999999999</v>
      </c>
      <c r="Y195" s="1">
        <v>0.45729199999999998</v>
      </c>
      <c r="Z195" s="1">
        <v>0.49109399999999997</v>
      </c>
      <c r="AA195" s="1">
        <f t="shared" ref="AA195:AA201" si="3">SUM(Y195:Z195)</f>
        <v>0.94838599999999995</v>
      </c>
    </row>
    <row r="196" spans="1:27" x14ac:dyDescent="0.2">
      <c r="A196">
        <v>19.600000000000001</v>
      </c>
      <c r="B196" t="s">
        <v>0</v>
      </c>
      <c r="C196">
        <v>0.441</v>
      </c>
      <c r="D196" t="s">
        <v>1</v>
      </c>
      <c r="E196">
        <v>0.50600000000000001</v>
      </c>
      <c r="G196">
        <v>19.600000000000001</v>
      </c>
      <c r="H196">
        <v>0.441</v>
      </c>
      <c r="I196">
        <v>0.50600000000000001</v>
      </c>
      <c r="K196">
        <v>19.600000000000001</v>
      </c>
      <c r="L196" t="s">
        <v>0</v>
      </c>
      <c r="M196">
        <v>0.46</v>
      </c>
      <c r="N196" t="s">
        <v>1</v>
      </c>
      <c r="O196">
        <v>0.47799999999999998</v>
      </c>
      <c r="Q196">
        <v>19.600000000000001</v>
      </c>
      <c r="R196" t="s">
        <v>0</v>
      </c>
      <c r="S196">
        <v>0.46600000000000003</v>
      </c>
      <c r="T196" t="s">
        <v>1</v>
      </c>
      <c r="U196">
        <v>0.49199999999999999</v>
      </c>
      <c r="X196">
        <v>19.5</v>
      </c>
      <c r="Y196" s="1">
        <v>0.45970800000000001</v>
      </c>
      <c r="Z196" s="1">
        <v>0.489116</v>
      </c>
      <c r="AA196" s="1">
        <f t="shared" si="3"/>
        <v>0.948824</v>
      </c>
    </row>
    <row r="197" spans="1:27" x14ac:dyDescent="0.2">
      <c r="A197">
        <v>19.7</v>
      </c>
      <c r="B197" t="s">
        <v>0</v>
      </c>
      <c r="C197">
        <v>0.46700000000000003</v>
      </c>
      <c r="D197" t="s">
        <v>1</v>
      </c>
      <c r="E197">
        <v>0.47799999999999998</v>
      </c>
      <c r="G197">
        <v>19.7</v>
      </c>
      <c r="H197">
        <v>0.46700000000000003</v>
      </c>
      <c r="I197">
        <v>0.47799999999999998</v>
      </c>
      <c r="K197">
        <v>19.7</v>
      </c>
      <c r="L197" t="s">
        <v>0</v>
      </c>
      <c r="M197">
        <v>0.45900000000000002</v>
      </c>
      <c r="N197" t="s">
        <v>1</v>
      </c>
      <c r="O197">
        <v>0.48299999999999998</v>
      </c>
      <c r="Q197">
        <v>19.7</v>
      </c>
      <c r="R197" t="s">
        <v>0</v>
      </c>
      <c r="S197">
        <v>0.47</v>
      </c>
      <c r="T197" t="s">
        <v>1</v>
      </c>
      <c r="U197">
        <v>0.48399999999999999</v>
      </c>
      <c r="X197">
        <v>19.600000000000001</v>
      </c>
      <c r="Y197" s="1">
        <v>0.46243499999999998</v>
      </c>
      <c r="Z197" s="1">
        <v>0.48645500000000003</v>
      </c>
      <c r="AA197" s="1">
        <f t="shared" si="3"/>
        <v>0.94889000000000001</v>
      </c>
    </row>
    <row r="198" spans="1:27" x14ac:dyDescent="0.2">
      <c r="A198">
        <v>19.8</v>
      </c>
      <c r="B198" t="s">
        <v>0</v>
      </c>
      <c r="C198">
        <v>0.41399999999999998</v>
      </c>
      <c r="D198" t="s">
        <v>1</v>
      </c>
      <c r="E198">
        <v>0.51800000000000002</v>
      </c>
      <c r="G198">
        <v>19.8</v>
      </c>
      <c r="H198">
        <v>0.41399999999999998</v>
      </c>
      <c r="I198">
        <v>0.51800000000000002</v>
      </c>
      <c r="K198">
        <v>19.8</v>
      </c>
      <c r="L198" t="s">
        <v>0</v>
      </c>
      <c r="M198">
        <v>0.39300000000000002</v>
      </c>
      <c r="N198" t="s">
        <v>1</v>
      </c>
      <c r="O198">
        <v>0.55000000000000004</v>
      </c>
      <c r="Q198">
        <v>19.8</v>
      </c>
      <c r="R198" t="s">
        <v>0</v>
      </c>
      <c r="S198">
        <v>0.48599999999999999</v>
      </c>
      <c r="T198" t="s">
        <v>1</v>
      </c>
      <c r="U198">
        <v>0.46</v>
      </c>
      <c r="X198">
        <v>19.7</v>
      </c>
      <c r="Y198" s="1">
        <v>0.46534199999999998</v>
      </c>
      <c r="Z198" s="1">
        <v>0.483987</v>
      </c>
      <c r="AA198" s="1">
        <f t="shared" si="3"/>
        <v>0.94932899999999998</v>
      </c>
    </row>
    <row r="199" spans="1:27" x14ac:dyDescent="0.2">
      <c r="A199">
        <v>19.899999999999999</v>
      </c>
      <c r="B199" t="s">
        <v>0</v>
      </c>
      <c r="C199">
        <v>0.48299999999999998</v>
      </c>
      <c r="D199" t="s">
        <v>1</v>
      </c>
      <c r="E199">
        <v>0.46800000000000003</v>
      </c>
      <c r="G199">
        <v>19.899999999999999</v>
      </c>
      <c r="H199">
        <v>0.48299999999999998</v>
      </c>
      <c r="I199">
        <v>0.46800000000000003</v>
      </c>
      <c r="K199">
        <v>19.899999999999999</v>
      </c>
      <c r="L199" t="s">
        <v>0</v>
      </c>
      <c r="M199">
        <v>0.438</v>
      </c>
      <c r="N199" t="s">
        <v>1</v>
      </c>
      <c r="O199">
        <v>0.51400000000000001</v>
      </c>
      <c r="Q199">
        <v>19.899999999999999</v>
      </c>
      <c r="R199" t="s">
        <v>0</v>
      </c>
      <c r="S199">
        <v>0.443</v>
      </c>
      <c r="T199" t="s">
        <v>1</v>
      </c>
      <c r="U199">
        <v>0.499</v>
      </c>
      <c r="X199">
        <v>19.8</v>
      </c>
      <c r="Y199" s="1">
        <v>0.46595999999999999</v>
      </c>
      <c r="Z199" s="1">
        <v>0.48373100000000002</v>
      </c>
      <c r="AA199" s="1">
        <f t="shared" si="3"/>
        <v>0.94969100000000006</v>
      </c>
    </row>
    <row r="200" spans="1:27" x14ac:dyDescent="0.2">
      <c r="G200">
        <v>20</v>
      </c>
      <c r="H200">
        <v>0.439</v>
      </c>
      <c r="I200">
        <v>0.501</v>
      </c>
      <c r="K200">
        <v>20</v>
      </c>
      <c r="L200" t="s">
        <v>0</v>
      </c>
      <c r="M200">
        <v>0.5</v>
      </c>
      <c r="N200" t="s">
        <v>1</v>
      </c>
      <c r="O200">
        <v>0.45900000000000002</v>
      </c>
      <c r="Q200">
        <v>20</v>
      </c>
      <c r="R200" t="s">
        <v>0</v>
      </c>
      <c r="S200">
        <v>0.52100000000000002</v>
      </c>
      <c r="T200" t="s">
        <v>1</v>
      </c>
      <c r="U200">
        <v>0.433</v>
      </c>
      <c r="X200">
        <v>19.899999999999999</v>
      </c>
      <c r="Y200" s="1">
        <v>0.469225</v>
      </c>
      <c r="Z200" s="1">
        <v>0.48074899999999998</v>
      </c>
      <c r="AA200" s="1">
        <f t="shared" si="3"/>
        <v>0.94997399999999999</v>
      </c>
    </row>
    <row r="201" spans="1:27" x14ac:dyDescent="0.2">
      <c r="X201">
        <v>20</v>
      </c>
      <c r="Y201" s="1">
        <v>0.46818900000000002</v>
      </c>
      <c r="Z201" s="1">
        <v>0.48136400000000001</v>
      </c>
      <c r="AA201" s="1">
        <f t="shared" si="3"/>
        <v>0.94955300000000009</v>
      </c>
    </row>
  </sheetData>
  <conditionalFormatting sqref="AA2:AA201">
    <cfRule type="cellIs" dxfId="1" priority="1" operator="greaterThan">
      <formula>1</formula>
    </cfRule>
  </conditionalFormatting>
  <pageMargins left="0.78749999999999998" right="0.78749999999999998" top="1.0249999999999999" bottom="1.0249999999999999" header="0.78749999999999998" footer="0.78749999999999998"/>
  <pageSetup paperSize="0" scale="0" orientation="portrait" usePrinterDefaults="0" useFirstPageNumber="1" horizontalDpi="0" verticalDpi="0" copies="0"/>
  <headerFooter>
    <oddHeader>&amp;C&amp;A</oddHeader>
    <oddFooter>&amp;CPage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01"/>
  <sheetViews>
    <sheetView tabSelected="1" workbookViewId="0">
      <selection activeCell="H19" sqref="H19"/>
    </sheetView>
  </sheetViews>
  <sheetFormatPr defaultRowHeight="12.75" x14ac:dyDescent="0.2"/>
  <cols>
    <col min="6" max="6" width="11" bestFit="1" customWidth="1"/>
    <col min="7" max="7" width="12.42578125" bestFit="1" customWidth="1"/>
    <col min="12" max="12" width="11.85546875" customWidth="1"/>
  </cols>
  <sheetData>
    <row r="1" spans="1:14" x14ac:dyDescent="0.2">
      <c r="A1" t="s">
        <v>2</v>
      </c>
      <c r="B1">
        <v>20</v>
      </c>
      <c r="E1">
        <v>11</v>
      </c>
      <c r="K1" t="s">
        <v>2</v>
      </c>
      <c r="L1" t="s">
        <v>10</v>
      </c>
      <c r="M1" t="s">
        <v>11</v>
      </c>
      <c r="N1" t="s">
        <v>9</v>
      </c>
    </row>
    <row r="2" spans="1:14" x14ac:dyDescent="0.2">
      <c r="A2" t="s">
        <v>4</v>
      </c>
      <c r="B2">
        <v>1</v>
      </c>
      <c r="K2">
        <v>0.1</v>
      </c>
      <c r="L2">
        <v>5.9419172644665646E-19</v>
      </c>
      <c r="M2">
        <v>3.3311132253990516E-2</v>
      </c>
      <c r="N2">
        <f>SUM(L2:M2)</f>
        <v>3.3311132253990516E-2</v>
      </c>
    </row>
    <row r="3" spans="1:14" x14ac:dyDescent="0.2">
      <c r="A3" t="s">
        <v>5</v>
      </c>
      <c r="B3">
        <v>2</v>
      </c>
      <c r="K3">
        <v>0.2</v>
      </c>
      <c r="L3">
        <v>2.1912364181462139E-15</v>
      </c>
      <c r="M3">
        <v>6.6489563439471572E-2</v>
      </c>
      <c r="N3">
        <f t="shared" ref="N3:N66" si="0">SUM(L3:M3)</f>
        <v>6.6489563439473764E-2</v>
      </c>
    </row>
    <row r="4" spans="1:14" x14ac:dyDescent="0.2">
      <c r="K4">
        <v>0.3</v>
      </c>
      <c r="L4">
        <v>2.5512402543602195E-13</v>
      </c>
      <c r="M4">
        <v>9.9405096988180675E-2</v>
      </c>
      <c r="N4">
        <f t="shared" si="0"/>
        <v>9.9405096988435804E-2</v>
      </c>
    </row>
    <row r="5" spans="1:14" x14ac:dyDescent="0.2">
      <c r="K5">
        <v>0.4</v>
      </c>
      <c r="L5">
        <v>7.2038007948365715E-12</v>
      </c>
      <c r="M5">
        <v>0.13193244182569408</v>
      </c>
      <c r="N5">
        <f t="shared" si="0"/>
        <v>0.13193244183289787</v>
      </c>
    </row>
    <row r="6" spans="1:14" x14ac:dyDescent="0.2">
      <c r="C6" t="s">
        <v>7</v>
      </c>
      <c r="E6" t="s">
        <v>6</v>
      </c>
      <c r="G6" t="s">
        <v>8</v>
      </c>
      <c r="H6" t="s">
        <v>3</v>
      </c>
      <c r="K6">
        <v>0.5</v>
      </c>
      <c r="L6">
        <v>9.3459894476904206E-11</v>
      </c>
      <c r="M6">
        <v>0.16395341365351546</v>
      </c>
      <c r="N6">
        <f t="shared" si="0"/>
        <v>0.16395341374697536</v>
      </c>
    </row>
    <row r="7" spans="1:14" x14ac:dyDescent="0.2">
      <c r="A7">
        <v>0</v>
      </c>
      <c r="C7">
        <f>1*(Mu)</f>
        <v>1</v>
      </c>
      <c r="E7">
        <f>FACT(A7)/C7</f>
        <v>1</v>
      </c>
      <c r="F7">
        <v>1</v>
      </c>
      <c r="G7">
        <f>1/SUM(F7:F19)</f>
        <v>2.5458714834468671E-10</v>
      </c>
      <c r="K7">
        <v>0.6</v>
      </c>
      <c r="L7">
        <v>7.4056982159177879E-10</v>
      </c>
      <c r="M7">
        <v>0.19535885403887954</v>
      </c>
      <c r="N7">
        <f t="shared" si="0"/>
        <v>0.19535885477944936</v>
      </c>
    </row>
    <row r="8" spans="1:14" x14ac:dyDescent="0.2">
      <c r="A8">
        <v>1</v>
      </c>
      <c r="C8">
        <f t="shared" ref="C8:C19" si="1">C7*(Mu + A8/Theta)</f>
        <v>1.5</v>
      </c>
      <c r="D8">
        <f>A8/C8*C7</f>
        <v>0.66666666666666663</v>
      </c>
      <c r="E8">
        <f>FACT(A8)/C8</f>
        <v>0.66666666666666663</v>
      </c>
      <c r="F8">
        <f>lambda/Mu</f>
        <v>20</v>
      </c>
      <c r="G8">
        <f>G7*lambda/Mu</f>
        <v>5.091742966893734E-9</v>
      </c>
      <c r="K8">
        <v>0.7</v>
      </c>
      <c r="L8">
        <v>4.1720019906410998E-9</v>
      </c>
      <c r="M8">
        <v>0.22605020336022683</v>
      </c>
      <c r="N8">
        <f t="shared" si="0"/>
        <v>0.22605020753222882</v>
      </c>
    </row>
    <row r="9" spans="1:14" x14ac:dyDescent="0.2">
      <c r="A9">
        <v>2</v>
      </c>
      <c r="C9">
        <f t="shared" si="1"/>
        <v>3</v>
      </c>
      <c r="D9">
        <f t="shared" ref="D9:D19" si="2">A9/C9*C8</f>
        <v>1</v>
      </c>
      <c r="E9">
        <f t="shared" ref="E9:E19" si="3">FACT(A9)/C9</f>
        <v>0.66666666666666663</v>
      </c>
      <c r="F9">
        <f t="shared" ref="F9:F19" si="4">lambda^A9*E8/FACT(A9-1)</f>
        <v>266.66666666666663</v>
      </c>
      <c r="G9">
        <f>F9*$G$7</f>
        <v>6.7889906225249775E-8</v>
      </c>
      <c r="K9">
        <v>0.8</v>
      </c>
      <c r="L9">
        <v>1.8295702196178483E-8</v>
      </c>
      <c r="M9">
        <v>0.25594068493118571</v>
      </c>
      <c r="N9">
        <f t="shared" si="0"/>
        <v>0.25594070322688789</v>
      </c>
    </row>
    <row r="10" spans="1:14" x14ac:dyDescent="0.2">
      <c r="A10">
        <v>3</v>
      </c>
      <c r="C10">
        <f t="shared" si="1"/>
        <v>7.5</v>
      </c>
      <c r="D10">
        <f t="shared" si="2"/>
        <v>1.2000000000000002</v>
      </c>
      <c r="E10">
        <f t="shared" si="3"/>
        <v>0.8</v>
      </c>
      <c r="F10">
        <f t="shared" si="4"/>
        <v>2666.6666666666665</v>
      </c>
      <c r="G10">
        <f t="shared" ref="G10:G19" si="5">F10*$G$7</f>
        <v>6.7889906225249783E-7</v>
      </c>
      <c r="K10">
        <v>0.9</v>
      </c>
      <c r="L10">
        <v>6.6221832549459177E-8</v>
      </c>
      <c r="M10">
        <v>0.28495607952482038</v>
      </c>
      <c r="N10">
        <f t="shared" si="0"/>
        <v>0.28495614574665296</v>
      </c>
    </row>
    <row r="11" spans="1:14" x14ac:dyDescent="0.2">
      <c r="A11">
        <v>4</v>
      </c>
      <c r="C11">
        <f t="shared" si="1"/>
        <v>22.5</v>
      </c>
      <c r="D11">
        <f t="shared" si="2"/>
        <v>1.3333333333333335</v>
      </c>
      <c r="E11">
        <f t="shared" si="3"/>
        <v>1.0666666666666667</v>
      </c>
      <c r="F11">
        <f t="shared" si="4"/>
        <v>21333.333333333332</v>
      </c>
      <c r="G11">
        <f t="shared" si="5"/>
        <v>5.4311924980199827E-6</v>
      </c>
      <c r="K11">
        <v>1</v>
      </c>
      <c r="L11">
        <v>2.0590786734838644E-7</v>
      </c>
      <c r="M11">
        <v>0.31303509020102999</v>
      </c>
      <c r="N11">
        <f t="shared" si="0"/>
        <v>0.31303529610889735</v>
      </c>
    </row>
    <row r="12" spans="1:14" x14ac:dyDescent="0.2">
      <c r="A12">
        <v>5</v>
      </c>
      <c r="C12">
        <f t="shared" si="1"/>
        <v>78.75</v>
      </c>
      <c r="D12">
        <f t="shared" si="2"/>
        <v>1.4285714285714284</v>
      </c>
      <c r="E12">
        <f t="shared" si="3"/>
        <v>1.5238095238095237</v>
      </c>
      <c r="F12">
        <f t="shared" si="4"/>
        <v>142222.22222222222</v>
      </c>
      <c r="G12">
        <f t="shared" si="5"/>
        <v>3.6207949986799885E-5</v>
      </c>
      <c r="K12">
        <v>1.1000000000000001</v>
      </c>
      <c r="L12">
        <v>5.6593793765542026E-7</v>
      </c>
      <c r="M12">
        <v>0.34012931546696462</v>
      </c>
      <c r="N12">
        <f t="shared" si="0"/>
        <v>0.3401298814049023</v>
      </c>
    </row>
    <row r="13" spans="1:14" x14ac:dyDescent="0.2">
      <c r="A13">
        <v>6</v>
      </c>
      <c r="C13">
        <f t="shared" si="1"/>
        <v>315</v>
      </c>
      <c r="D13">
        <f t="shared" si="2"/>
        <v>1.5000000000000002</v>
      </c>
      <c r="E13">
        <f t="shared" si="3"/>
        <v>2.2857142857142856</v>
      </c>
      <c r="F13">
        <f t="shared" si="4"/>
        <v>812698.41269841266</v>
      </c>
      <c r="G13">
        <f t="shared" si="5"/>
        <v>2.069025713531422E-4</v>
      </c>
      <c r="K13">
        <v>1.2</v>
      </c>
      <c r="L13">
        <v>1.4043022032714282E-6</v>
      </c>
      <c r="M13">
        <v>0.36620286361921489</v>
      </c>
      <c r="N13">
        <f t="shared" si="0"/>
        <v>0.36620426792141814</v>
      </c>
    </row>
    <row r="14" spans="1:14" x14ac:dyDescent="0.2">
      <c r="A14">
        <v>7</v>
      </c>
      <c r="C14">
        <f t="shared" si="1"/>
        <v>1417.5</v>
      </c>
      <c r="D14">
        <f t="shared" si="2"/>
        <v>1.5555555555555556</v>
      </c>
      <c r="E14">
        <f t="shared" si="3"/>
        <v>3.5555555555555554</v>
      </c>
      <c r="F14">
        <f t="shared" si="4"/>
        <v>4063492.063492063</v>
      </c>
      <c r="G14">
        <f t="shared" si="5"/>
        <v>1.0345128567657109E-3</v>
      </c>
      <c r="K14">
        <v>1.3</v>
      </c>
      <c r="L14">
        <v>3.196871691824754E-6</v>
      </c>
      <c r="M14">
        <v>0.39123165240027513</v>
      </c>
      <c r="N14">
        <f t="shared" si="0"/>
        <v>0.39123484927196694</v>
      </c>
    </row>
    <row r="15" spans="1:14" x14ac:dyDescent="0.2">
      <c r="A15">
        <v>8</v>
      </c>
      <c r="C15">
        <f t="shared" si="1"/>
        <v>7087.5</v>
      </c>
      <c r="D15">
        <f t="shared" si="2"/>
        <v>1.5999999999999999</v>
      </c>
      <c r="E15">
        <f t="shared" si="3"/>
        <v>5.6888888888888891</v>
      </c>
      <c r="F15">
        <f t="shared" si="4"/>
        <v>18059964.726631392</v>
      </c>
      <c r="G15">
        <f t="shared" si="5"/>
        <v>4.5978349189587158E-3</v>
      </c>
      <c r="K15">
        <v>1.4</v>
      </c>
      <c r="L15">
        <v>6.7607804158862458E-6</v>
      </c>
      <c r="M15">
        <v>0.41520244600916184</v>
      </c>
      <c r="N15">
        <f t="shared" si="0"/>
        <v>0.41520920678957773</v>
      </c>
    </row>
    <row r="16" spans="1:14" x14ac:dyDescent="0.2">
      <c r="A16">
        <v>9</v>
      </c>
      <c r="C16">
        <f t="shared" si="1"/>
        <v>38981.25</v>
      </c>
      <c r="D16">
        <f t="shared" si="2"/>
        <v>1.6363636363636365</v>
      </c>
      <c r="E16">
        <f t="shared" si="3"/>
        <v>9.3090909090909086</v>
      </c>
      <c r="F16">
        <f t="shared" si="4"/>
        <v>72239858.906525582</v>
      </c>
      <c r="G16">
        <f t="shared" si="5"/>
        <v>1.8391339675834867E-2</v>
      </c>
      <c r="K16">
        <v>1.5</v>
      </c>
      <c r="L16">
        <v>1.3415076932000488E-5</v>
      </c>
      <c r="M16">
        <v>0.43811168641024123</v>
      </c>
      <c r="N16">
        <f t="shared" si="0"/>
        <v>0.43812510148717321</v>
      </c>
    </row>
    <row r="17" spans="1:14" x14ac:dyDescent="0.2">
      <c r="A17">
        <v>10</v>
      </c>
      <c r="C17">
        <f t="shared" si="1"/>
        <v>233887.5</v>
      </c>
      <c r="D17">
        <f t="shared" si="2"/>
        <v>1.6666666666666667</v>
      </c>
      <c r="E17">
        <f t="shared" si="3"/>
        <v>15.515151515151516</v>
      </c>
      <c r="F17">
        <f t="shared" si="4"/>
        <v>262690396.02372935</v>
      </c>
      <c r="G17">
        <f t="shared" si="5"/>
        <v>6.6877598821217688E-2</v>
      </c>
      <c r="K17">
        <v>1.6</v>
      </c>
      <c r="L17">
        <v>2.5176997717335701E-5</v>
      </c>
      <c r="M17">
        <v>0.45996417821908897</v>
      </c>
      <c r="N17">
        <f t="shared" si="0"/>
        <v>0.45998935521680628</v>
      </c>
    </row>
    <row r="18" spans="1:14" x14ac:dyDescent="0.2">
      <c r="A18">
        <v>11</v>
      </c>
      <c r="C18">
        <f t="shared" si="1"/>
        <v>1520268.75</v>
      </c>
      <c r="D18">
        <f t="shared" si="2"/>
        <v>1.6923076923076923</v>
      </c>
      <c r="E18">
        <f t="shared" si="3"/>
        <v>26.256410256410255</v>
      </c>
      <c r="F18">
        <f t="shared" si="4"/>
        <v>875634653.41243124</v>
      </c>
      <c r="G18">
        <f t="shared" si="5"/>
        <v>0.22292532940405896</v>
      </c>
      <c r="K18">
        <v>1.7</v>
      </c>
      <c r="L18">
        <v>4.4987480490920124E-5</v>
      </c>
      <c r="M18">
        <v>0.48077168659713349</v>
      </c>
      <c r="N18">
        <f t="shared" si="0"/>
        <v>0.48081667407762441</v>
      </c>
    </row>
    <row r="19" spans="1:14" x14ac:dyDescent="0.2">
      <c r="A19">
        <v>12</v>
      </c>
      <c r="C19">
        <f t="shared" si="1"/>
        <v>10641881.25</v>
      </c>
      <c r="D19">
        <f t="shared" si="2"/>
        <v>1.7142857142857144</v>
      </c>
      <c r="E19">
        <f t="shared" si="3"/>
        <v>45.010989010989015</v>
      </c>
      <c r="F19">
        <f t="shared" si="4"/>
        <v>2694260472.0382495</v>
      </c>
      <c r="G19">
        <f t="shared" si="5"/>
        <v>0.68592409047402747</v>
      </c>
      <c r="H19">
        <f>1-Mu/lambda*(1-G7) - G19</f>
        <v>0.26407590953870186</v>
      </c>
      <c r="K19">
        <v>1.8</v>
      </c>
      <c r="L19">
        <v>7.6954669542463757E-5</v>
      </c>
      <c r="M19">
        <v>0.50055150584883656</v>
      </c>
      <c r="N19">
        <f t="shared" si="0"/>
        <v>0.50062846051837906</v>
      </c>
    </row>
    <row r="20" spans="1:14" x14ac:dyDescent="0.2">
      <c r="K20">
        <v>1.9</v>
      </c>
      <c r="L20">
        <v>1.2659981947492455E-4</v>
      </c>
      <c r="M20">
        <v>0.51932505298025511</v>
      </c>
      <c r="N20">
        <f t="shared" si="0"/>
        <v>0.51945165279973005</v>
      </c>
    </row>
    <row r="21" spans="1:14" x14ac:dyDescent="0.2">
      <c r="K21">
        <v>2</v>
      </c>
      <c r="L21">
        <v>2.0108678916375399E-4</v>
      </c>
      <c r="M21">
        <v>0.53711653547688776</v>
      </c>
      <c r="N21">
        <f t="shared" si="0"/>
        <v>0.53731762226605151</v>
      </c>
    </row>
    <row r="22" spans="1:14" x14ac:dyDescent="0.2">
      <c r="K22">
        <v>2.1</v>
      </c>
      <c r="L22">
        <v>3.0941471572557992E-4</v>
      </c>
      <c r="M22">
        <v>0.55395173610909265</v>
      </c>
      <c r="N22">
        <f t="shared" si="0"/>
        <v>0.55426115082481819</v>
      </c>
    </row>
    <row r="23" spans="1:14" x14ac:dyDescent="0.2">
      <c r="K23">
        <v>2.2000000000000002</v>
      </c>
      <c r="L23">
        <v>4.6255375891132244E-4</v>
      </c>
      <c r="M23">
        <v>0.56985694982801538</v>
      </c>
      <c r="N23">
        <f t="shared" si="0"/>
        <v>0.57031950358692673</v>
      </c>
    </row>
    <row r="24" spans="1:14" x14ac:dyDescent="0.2">
      <c r="K24">
        <v>2.2999999999999998</v>
      </c>
      <c r="L24">
        <v>6.735060761405827E-4</v>
      </c>
      <c r="M24">
        <v>0.5848580989995682</v>
      </c>
      <c r="N24">
        <f t="shared" si="0"/>
        <v>0.58553160507570878</v>
      </c>
    </row>
    <row r="25" spans="1:14" x14ac:dyDescent="0.2">
      <c r="K25">
        <v>2.4</v>
      </c>
      <c r="L25">
        <v>9.5727826888117437E-4</v>
      </c>
      <c r="M25">
        <v>0.59898004365581514</v>
      </c>
      <c r="N25">
        <f t="shared" si="0"/>
        <v>0.59993732192469629</v>
      </c>
    </row>
    <row r="26" spans="1:14" x14ac:dyDescent="0.2">
      <c r="K26">
        <v>2.5</v>
      </c>
      <c r="L26">
        <v>1.3307570740328839E-3</v>
      </c>
      <c r="M26">
        <v>0.61224609352958936</v>
      </c>
      <c r="N26">
        <f t="shared" si="0"/>
        <v>0.61357685060362221</v>
      </c>
    </row>
    <row r="27" spans="1:14" x14ac:dyDescent="0.2">
      <c r="K27">
        <v>2.6</v>
      </c>
      <c r="L27">
        <v>1.8124865479581121E-3</v>
      </c>
      <c r="M27">
        <v>0.62467771885658285</v>
      </c>
      <c r="N27">
        <f t="shared" si="0"/>
        <v>0.62649020540454092</v>
      </c>
    </row>
    <row r="28" spans="1:14" x14ac:dyDescent="0.2">
      <c r="K28">
        <v>2.7</v>
      </c>
      <c r="L28">
        <v>2.422351802072537E-3</v>
      </c>
      <c r="M28">
        <v>0.63629444779106437</v>
      </c>
      <c r="N28">
        <f t="shared" si="0"/>
        <v>0.63871679959313687</v>
      </c>
    </row>
    <row r="29" spans="1:14" x14ac:dyDescent="0.2">
      <c r="K29">
        <v>2.8</v>
      </c>
      <c r="L29">
        <v>3.1811808695185232E-3</v>
      </c>
      <c r="M29">
        <v>0.64711393028711073</v>
      </c>
      <c r="N29">
        <f t="shared" si="0"/>
        <v>0.6502951111566293</v>
      </c>
    </row>
    <row r="30" spans="1:14" x14ac:dyDescent="0.2">
      <c r="K30">
        <v>2.9</v>
      </c>
      <c r="L30">
        <v>4.1102819280901424E-3</v>
      </c>
      <c r="M30">
        <v>0.65715214188659543</v>
      </c>
      <c r="N30">
        <f t="shared" si="0"/>
        <v>0.66126242381468558</v>
      </c>
    </row>
    <row r="31" spans="1:14" x14ac:dyDescent="0.2">
      <c r="K31">
        <v>3</v>
      </c>
      <c r="L31">
        <v>5.2309373949836098E-3</v>
      </c>
      <c r="M31">
        <v>0.66642369636166421</v>
      </c>
      <c r="N31">
        <f t="shared" si="0"/>
        <v>0.6716546337566478</v>
      </c>
    </row>
    <row r="32" spans="1:14" x14ac:dyDescent="0.2">
      <c r="K32">
        <v>3.1</v>
      </c>
      <c r="L32">
        <v>6.5638790142653752E-3</v>
      </c>
      <c r="M32">
        <v>0.67494223377408014</v>
      </c>
      <c r="N32">
        <f t="shared" si="0"/>
        <v>0.6815061127883455</v>
      </c>
    </row>
    <row r="33" spans="11:14" x14ac:dyDescent="0.2">
      <c r="K33">
        <v>3.2</v>
      </c>
      <c r="L33">
        <v>8.1287688262009824E-3</v>
      </c>
      <c r="M33">
        <v>0.68272085026459028</v>
      </c>
      <c r="N33">
        <f t="shared" si="0"/>
        <v>0.69084961909079123</v>
      </c>
    </row>
    <row r="34" spans="11:14" x14ac:dyDescent="0.2">
      <c r="K34">
        <v>3.3</v>
      </c>
      <c r="L34">
        <v>9.9437098704018307E-3</v>
      </c>
      <c r="M34">
        <v>0.68977253763507806</v>
      </c>
      <c r="N34">
        <f t="shared" si="0"/>
        <v>0.69971624750547989</v>
      </c>
    </row>
    <row r="35" spans="11:14" x14ac:dyDescent="0.2">
      <c r="K35">
        <v>3.4</v>
      </c>
      <c r="L35">
        <v>1.2024807831579646E-2</v>
      </c>
      <c r="M35">
        <v>0.69611060424934468</v>
      </c>
      <c r="N35">
        <f t="shared" si="0"/>
        <v>0.70813541208092434</v>
      </c>
    </row>
    <row r="36" spans="11:14" x14ac:dyDescent="0.2">
      <c r="K36">
        <v>3.5</v>
      </c>
      <c r="L36">
        <v>1.4385800920654343E-2</v>
      </c>
      <c r="M36">
        <v>0.70174905355508299</v>
      </c>
      <c r="N36">
        <f t="shared" si="0"/>
        <v>0.71613485447573733</v>
      </c>
    </row>
    <row r="37" spans="11:14" x14ac:dyDescent="0.2">
      <c r="K37">
        <v>3.6</v>
      </c>
      <c r="L37">
        <v>1.7037770514873141E-2</v>
      </c>
      <c r="M37">
        <v>0.70670290215100773</v>
      </c>
      <c r="N37">
        <f t="shared" si="0"/>
        <v>0.72374067266588082</v>
      </c>
    </row>
    <row r="38" spans="11:14" x14ac:dyDescent="0.2">
      <c r="K38">
        <v>3.7</v>
      </c>
      <c r="L38">
        <v>1.9988939912545817E-2</v>
      </c>
      <c r="M38">
        <v>0.71098842530120188</v>
      </c>
      <c r="N38">
        <f t="shared" si="0"/>
        <v>0.73097736521374768</v>
      </c>
    </row>
    <row r="39" spans="11:14" x14ac:dyDescent="0.2">
      <c r="K39">
        <v>3.8</v>
      </c>
      <c r="L39">
        <v>2.3244563428696175E-2</v>
      </c>
      <c r="M39">
        <v>0.71462332367445158</v>
      </c>
      <c r="N39">
        <f t="shared" si="0"/>
        <v>0.73786788710314777</v>
      </c>
    </row>
    <row r="40" spans="11:14" x14ac:dyDescent="0.2">
      <c r="K40">
        <v>3.9</v>
      </c>
      <c r="L40">
        <v>2.680690334637081E-2</v>
      </c>
      <c r="M40">
        <v>0.71762681046920307</v>
      </c>
      <c r="N40">
        <f t="shared" si="0"/>
        <v>0.74443371381557388</v>
      </c>
    </row>
    <row r="41" spans="11:14" x14ac:dyDescent="0.2">
      <c r="K41">
        <v>4</v>
      </c>
      <c r="L41">
        <v>3.0675288235150731E-2</v>
      </c>
      <c r="M41">
        <v>0.72001962268006225</v>
      </c>
      <c r="N41">
        <f t="shared" si="0"/>
        <v>0.75069491091521301</v>
      </c>
    </row>
    <row r="42" spans="11:14" x14ac:dyDescent="0.2">
      <c r="K42">
        <v>4.0999999999999996</v>
      </c>
      <c r="L42">
        <v>3.4846243040743727E-2</v>
      </c>
      <c r="M42">
        <v>0.72182396388337899</v>
      </c>
      <c r="N42">
        <f t="shared" si="0"/>
        <v>0.75667020692412268</v>
      </c>
    </row>
    <row r="43" spans="11:14" x14ac:dyDescent="0.2">
      <c r="K43">
        <v>4.2</v>
      </c>
      <c r="L43">
        <v>3.9313679220136517E-2</v>
      </c>
      <c r="M43">
        <v>0.72306338848913099</v>
      </c>
      <c r="N43">
        <f t="shared" si="0"/>
        <v>0.7623770677092675</v>
      </c>
    </row>
    <row r="44" spans="11:14" x14ac:dyDescent="0.2">
      <c r="K44">
        <v>4.3</v>
      </c>
      <c r="L44">
        <v>4.4069132034660528E-2</v>
      </c>
      <c r="M44">
        <v>0.72376263894144832</v>
      </c>
      <c r="N44">
        <f t="shared" si="0"/>
        <v>0.76783177097610888</v>
      </c>
    </row>
    <row r="45" spans="11:14" x14ac:dyDescent="0.2">
      <c r="K45">
        <v>4.4000000000000004</v>
      </c>
      <c r="L45">
        <v>4.9102031832488111E-2</v>
      </c>
      <c r="M45">
        <v>0.72394744794398236</v>
      </c>
      <c r="N45">
        <f t="shared" si="0"/>
        <v>0.77304947977647043</v>
      </c>
    </row>
    <row r="46" spans="11:14" x14ac:dyDescent="0.2">
      <c r="K46">
        <v>4.5</v>
      </c>
      <c r="L46">
        <v>5.4399996614366702E-2</v>
      </c>
      <c r="M46">
        <v>0.72364431758454106</v>
      </c>
      <c r="N46">
        <f t="shared" si="0"/>
        <v>0.77804431419890774</v>
      </c>
    </row>
    <row r="47" spans="11:14" x14ac:dyDescent="0.2">
      <c r="K47">
        <v>4.5999999999999996</v>
      </c>
      <c r="L47">
        <v>5.9949134214774866E-2</v>
      </c>
      <c r="M47">
        <v>0.72288028641019331</v>
      </c>
      <c r="N47">
        <f t="shared" si="0"/>
        <v>0.78282942062496819</v>
      </c>
    </row>
    <row r="48" spans="11:14" x14ac:dyDescent="0.2">
      <c r="K48">
        <v>4.7</v>
      </c>
      <c r="L48">
        <v>6.5734343870102033E-2</v>
      </c>
      <c r="M48">
        <v>0.72168269424098241</v>
      </c>
      <c r="N48">
        <f t="shared" si="0"/>
        <v>0.78741703811108443</v>
      </c>
    </row>
    <row r="49" spans="11:14" x14ac:dyDescent="0.2">
      <c r="K49">
        <v>4.8</v>
      </c>
      <c r="L49">
        <v>7.1739608619615799E-2</v>
      </c>
      <c r="M49">
        <v>0.72007895297966851</v>
      </c>
      <c r="N49">
        <f t="shared" si="0"/>
        <v>0.79181856159928432</v>
      </c>
    </row>
    <row r="50" spans="11:14" x14ac:dyDescent="0.2">
      <c r="K50">
        <v>4.9000000000000004</v>
      </c>
      <c r="L50">
        <v>7.7948271748055215E-2</v>
      </c>
      <c r="M50">
        <v>0.71809633002749795</v>
      </c>
      <c r="N50">
        <f t="shared" si="0"/>
        <v>0.79604460177555314</v>
      </c>
    </row>
    <row r="51" spans="11:14" x14ac:dyDescent="0.2">
      <c r="K51">
        <v>5</v>
      </c>
      <c r="L51">
        <v>8.4343292212139501E-2</v>
      </c>
      <c r="M51">
        <v>0.71576174927484948</v>
      </c>
      <c r="N51">
        <f t="shared" si="0"/>
        <v>0.80010504148698902</v>
      </c>
    </row>
    <row r="52" spans="11:14" x14ac:dyDescent="0.2">
      <c r="K52">
        <v>5.0999999999999996</v>
      </c>
      <c r="L52">
        <v>9.0907475608374325E-2</v>
      </c>
      <c r="M52">
        <v>0.71310161309328812</v>
      </c>
      <c r="N52">
        <f t="shared" si="0"/>
        <v>0.80400908870166243</v>
      </c>
    </row>
    <row r="53" spans="11:14" x14ac:dyDescent="0.2">
      <c r="K53">
        <v>5.2</v>
      </c>
      <c r="L53">
        <v>9.7623678676478545E-2</v>
      </c>
      <c r="M53">
        <v>0.71014164737508134</v>
      </c>
      <c r="N53">
        <f t="shared" si="0"/>
        <v>0.80776532605155993</v>
      </c>
    </row>
    <row r="54" spans="11:14" x14ac:dyDescent="0.2">
      <c r="K54">
        <v>5.3</v>
      </c>
      <c r="L54">
        <v>0.10447498655759765</v>
      </c>
      <c r="M54">
        <v>0.7069067704843589</v>
      </c>
      <c r="N54">
        <f t="shared" si="0"/>
        <v>0.81138175704195659</v>
      </c>
    </row>
    <row r="55" spans="11:14" x14ac:dyDescent="0.2">
      <c r="K55">
        <v>5.4</v>
      </c>
      <c r="L55">
        <v>0.11144486302663081</v>
      </c>
      <c r="M55">
        <v>0.70342098601570924</v>
      </c>
      <c r="N55">
        <f t="shared" si="0"/>
        <v>0.81486584904234005</v>
      </c>
    </row>
    <row r="56" spans="11:14" x14ac:dyDescent="0.2">
      <c r="K56">
        <v>5.5</v>
      </c>
      <c r="L56">
        <v>0.11851727469737247</v>
      </c>
      <c r="M56">
        <v>0.69970729849926738</v>
      </c>
      <c r="N56">
        <f t="shared" si="0"/>
        <v>0.81822457319663988</v>
      </c>
    </row>
    <row r="57" spans="11:14" x14ac:dyDescent="0.2">
      <c r="K57">
        <v>5.6</v>
      </c>
      <c r="L57">
        <v>0.12567679077330648</v>
      </c>
      <c r="M57">
        <v>0.69578765063237724</v>
      </c>
      <c r="N57">
        <f t="shared" si="0"/>
        <v>0.82146444140568375</v>
      </c>
    </row>
    <row r="58" spans="11:14" x14ac:dyDescent="0.2">
      <c r="K58">
        <v>5.7</v>
      </c>
      <c r="L58">
        <v>0.13290866030870033</v>
      </c>
      <c r="M58">
        <v>0.69168288023525393</v>
      </c>
      <c r="N58">
        <f t="shared" si="0"/>
        <v>0.82459154054395423</v>
      </c>
    </row>
    <row r="59" spans="11:14" x14ac:dyDescent="0.2">
      <c r="K59">
        <v>5.8</v>
      </c>
      <c r="L59">
        <v>0.14019886918087271</v>
      </c>
      <c r="M59">
        <v>0.68741269489622092</v>
      </c>
      <c r="N59">
        <f t="shared" si="0"/>
        <v>0.82761156407709358</v>
      </c>
    </row>
    <row r="60" spans="11:14" x14ac:dyDescent="0.2">
      <c r="K60">
        <v>5.9</v>
      </c>
      <c r="L60">
        <v>0.14753417908293029</v>
      </c>
      <c r="M60">
        <v>0.68299566216427676</v>
      </c>
      <c r="N60">
        <f t="shared" si="0"/>
        <v>0.83052984124720708</v>
      </c>
    </row>
    <row r="61" spans="11:14" x14ac:dyDescent="0.2">
      <c r="K61">
        <v>6</v>
      </c>
      <c r="L61">
        <v>0.15490215085374121</v>
      </c>
      <c r="M61">
        <v>0.67844921313699547</v>
      </c>
      <c r="N61">
        <f t="shared" si="0"/>
        <v>0.83335136399073662</v>
      </c>
    </row>
    <row r="62" spans="11:14" x14ac:dyDescent="0.2">
      <c r="K62">
        <v>6.1</v>
      </c>
      <c r="L62">
        <v>0.16229115439304989</v>
      </c>
      <c r="M62">
        <v>0.67378965735616148</v>
      </c>
      <c r="N62">
        <f t="shared" si="0"/>
        <v>0.83608081174921134</v>
      </c>
    </row>
    <row r="63" spans="11:14" x14ac:dyDescent="0.2">
      <c r="K63">
        <v>6.2</v>
      </c>
      <c r="L63">
        <v>0.16969036728603837</v>
      </c>
      <c r="M63">
        <v>0.669032207041103</v>
      </c>
      <c r="N63">
        <f t="shared" si="0"/>
        <v>0.83872257432714137</v>
      </c>
    </row>
    <row r="64" spans="11:14" x14ac:dyDescent="0.2">
      <c r="K64">
        <v>6.3</v>
      </c>
      <c r="L64">
        <v>0.17708976410160057</v>
      </c>
      <c r="M64">
        <v>0.66419100884257021</v>
      </c>
      <c r="N64">
        <f t="shared" si="0"/>
        <v>0.84128077294417081</v>
      </c>
    </row>
    <row r="65" spans="11:14" x14ac:dyDescent="0.2">
      <c r="K65">
        <v>6.4</v>
      </c>
      <c r="L65">
        <v>0.18448009814707286</v>
      </c>
      <c r="M65">
        <v>0.65927918147368336</v>
      </c>
      <c r="N65">
        <f t="shared" si="0"/>
        <v>0.84375927962075625</v>
      </c>
    </row>
    <row r="66" spans="11:14" x14ac:dyDescent="0.2">
      <c r="K66">
        <v>6.5</v>
      </c>
      <c r="L66">
        <v>0.19185287727096792</v>
      </c>
      <c r="M66">
        <v>0.65430885775740977</v>
      </c>
      <c r="N66">
        <f t="shared" si="0"/>
        <v>0.84616173502837766</v>
      </c>
    </row>
    <row r="67" spans="11:14" x14ac:dyDescent="0.2">
      <c r="K67">
        <v>6.6</v>
      </c>
      <c r="L67">
        <v>0.19920033511342347</v>
      </c>
      <c r="M67">
        <v>0.6492912298134611</v>
      </c>
      <c r="N67">
        <f t="shared" ref="N67:N130" si="6">SUM(L67:M67)</f>
        <v>0.8484915649268846</v>
      </c>
    </row>
    <row r="68" spans="11:14" x14ac:dyDescent="0.2">
      <c r="K68">
        <v>6.7</v>
      </c>
      <c r="L68">
        <v>0.20651539901815158</v>
      </c>
      <c r="M68">
        <v>0.64423659628504781</v>
      </c>
      <c r="N68">
        <f t="shared" si="6"/>
        <v>0.85075199530319945</v>
      </c>
    </row>
    <row r="69" spans="11:14" x14ac:dyDescent="0.2">
      <c r="K69">
        <v>6.8</v>
      </c>
      <c r="L69">
        <v>0.21379165564424973</v>
      </c>
      <c r="M69">
        <v>0.63915441067314982</v>
      </c>
      <c r="N69">
        <f t="shared" si="6"/>
        <v>0.85294606631739955</v>
      </c>
    </row>
    <row r="70" spans="11:14" x14ac:dyDescent="0.2">
      <c r="K70">
        <v>6.9</v>
      </c>
      <c r="L70">
        <v>0.22102331515419357</v>
      </c>
      <c r="M70">
        <v>0.6340533300000829</v>
      </c>
      <c r="N70">
        <f t="shared" si="6"/>
        <v>0.8550766451542765</v>
      </c>
    </row>
    <row r="71" spans="11:14" x14ac:dyDescent="0.2">
      <c r="K71">
        <v>7</v>
      </c>
      <c r="L71">
        <v>0.22820517470731058</v>
      </c>
      <c r="M71">
        <v>0.62894126316358001</v>
      </c>
      <c r="N71">
        <f t="shared" si="6"/>
        <v>0.85714643787089062</v>
      </c>
    </row>
    <row r="72" spans="11:14" x14ac:dyDescent="0.2">
      <c r="K72">
        <v>7.1</v>
      </c>
      <c r="L72">
        <v>0.23533258185667108</v>
      </c>
      <c r="M72">
        <v>0.62382541846679229</v>
      </c>
      <c r="N72">
        <f t="shared" si="6"/>
        <v>0.85915800032346334</v>
      </c>
    </row>
    <row r="73" spans="11:14" x14ac:dyDescent="0.2">
      <c r="K73">
        <v>7.2</v>
      </c>
      <c r="L73">
        <v>0.24240139833152519</v>
      </c>
      <c r="M73">
        <v>0.61871234991867186</v>
      </c>
      <c r="N73">
        <f t="shared" si="6"/>
        <v>0.86111374825019704</v>
      </c>
    </row>
    <row r="74" spans="11:14" x14ac:dyDescent="0.2">
      <c r="K74">
        <v>7.3</v>
      </c>
      <c r="L74">
        <v>0.24940796458659126</v>
      </c>
      <c r="M74">
        <v>0.61360800199369847</v>
      </c>
      <c r="N74">
        <f t="shared" si="6"/>
        <v>0.86301596658028967</v>
      </c>
    </row>
    <row r="75" spans="11:14" x14ac:dyDescent="0.2">
      <c r="K75">
        <v>7.4</v>
      </c>
      <c r="L75">
        <v>0.25634906541270053</v>
      </c>
      <c r="M75">
        <v>0.60851775262083907</v>
      </c>
      <c r="N75">
        <f t="shared" si="6"/>
        <v>0.8648668180335396</v>
      </c>
    </row>
    <row r="76" spans="11:14" x14ac:dyDescent="0.2">
      <c r="K76">
        <v>7.5</v>
      </c>
      <c r="L76">
        <v>0.26322189682940622</v>
      </c>
      <c r="M76">
        <v>0.60344645424007615</v>
      </c>
      <c r="N76">
        <f t="shared" si="6"/>
        <v>0.86666835106948237</v>
      </c>
    </row>
    <row r="77" spans="11:14" x14ac:dyDescent="0.2">
      <c r="K77">
        <v>7.6</v>
      </c>
      <c r="L77">
        <v>0.27002403441792772</v>
      </c>
      <c r="M77">
        <v>0.59839847282204905</v>
      </c>
      <c r="N77">
        <f t="shared" si="6"/>
        <v>0.86842250723997672</v>
      </c>
    </row>
    <row r="78" spans="11:14" x14ac:dyDescent="0.2">
      <c r="K78">
        <v>7.7</v>
      </c>
      <c r="L78">
        <v>0.27675340320094638</v>
      </c>
      <c r="M78">
        <v>0.59337772479357076</v>
      </c>
      <c r="N78">
        <f t="shared" si="6"/>
        <v>0.8701311279945172</v>
      </c>
    </row>
    <row r="79" spans="11:14" x14ac:dyDescent="0.2">
      <c r="K79">
        <v>7.8</v>
      </c>
      <c r="L79">
        <v>0.28340824913306689</v>
      </c>
      <c r="M79">
        <v>0.58838771185023764</v>
      </c>
      <c r="N79">
        <f t="shared" si="6"/>
        <v>0.87179596098330459</v>
      </c>
    </row>
    <row r="80" spans="11:14" x14ac:dyDescent="0.2">
      <c r="K80">
        <v>7.9</v>
      </c>
      <c r="L80">
        <v>0.28998711223102297</v>
      </c>
      <c r="M80">
        <v>0.58343155366817689</v>
      </c>
      <c r="N80">
        <f t="shared" si="6"/>
        <v>0.87341866589919981</v>
      </c>
    </row>
    <row r="81" spans="11:14" x14ac:dyDescent="0.2">
      <c r="K81">
        <v>8</v>
      </c>
      <c r="L81">
        <v>0.29648880134483613</v>
      </c>
      <c r="M81">
        <v>0.57851201855128509</v>
      </c>
      <c r="N81">
        <f t="shared" si="6"/>
        <v>0.87500081989612122</v>
      </c>
    </row>
    <row r="82" spans="11:14" x14ac:dyDescent="0.2">
      <c r="K82">
        <v>8.1</v>
      </c>
      <c r="L82">
        <v>0.30291237054913767</v>
      </c>
      <c r="M82">
        <v>0.5736315520690467</v>
      </c>
      <c r="N82">
        <f t="shared" si="6"/>
        <v>0.87654392261818437</v>
      </c>
    </row>
    <row r="83" spans="11:14" x14ac:dyDescent="0.2">
      <c r="K83">
        <v>8.1999999999999993</v>
      </c>
      <c r="L83">
        <v>0.3092570971168348</v>
      </c>
      <c r="M83">
        <v>0.56879230375407552</v>
      </c>
      <c r="N83">
        <f t="shared" si="6"/>
        <v>0.87804940087091032</v>
      </c>
    </row>
    <row r="84" spans="11:14" x14ac:dyDescent="0.2">
      <c r="K84">
        <v>8.3000000000000007</v>
      </c>
      <c r="L84">
        <v>0.31552246102444587</v>
      </c>
      <c r="M84">
        <v>0.56399615193866426</v>
      </c>
      <c r="N84">
        <f t="shared" si="6"/>
        <v>0.87951861296311007</v>
      </c>
    </row>
    <row r="85" spans="11:14" x14ac:dyDescent="0.2">
      <c r="K85">
        <v>8.4</v>
      </c>
      <c r="L85">
        <v>0.32170812592903913</v>
      </c>
      <c r="M85">
        <v>0.55924472681654547</v>
      </c>
      <c r="N85">
        <f t="shared" si="6"/>
        <v>0.88095285274558455</v>
      </c>
    </row>
    <row r="86" spans="11:14" x14ac:dyDescent="0.2">
      <c r="K86">
        <v>8.5</v>
      </c>
      <c r="L86">
        <v>0.32781392155019035</v>
      </c>
      <c r="M86">
        <v>0.55453943182033871</v>
      </c>
      <c r="N86">
        <f t="shared" si="6"/>
        <v>0.882353353370529</v>
      </c>
    </row>
    <row r="87" spans="11:14" x14ac:dyDescent="0.2">
      <c r="K87">
        <v>8.6</v>
      </c>
      <c r="L87">
        <v>0.33383982738618156</v>
      </c>
      <c r="M87">
        <v>0.54988146340729338</v>
      </c>
      <c r="N87">
        <f t="shared" si="6"/>
        <v>0.88372129079347495</v>
      </c>
    </row>
    <row r="88" spans="11:14" x14ac:dyDescent="0.2">
      <c r="K88">
        <v>8.6999999999999993</v>
      </c>
      <c r="L88">
        <v>0.33978595769137399</v>
      </c>
      <c r="M88">
        <v>0.54527182934637053</v>
      </c>
      <c r="N88">
        <f t="shared" si="6"/>
        <v>0.88505778703774451</v>
      </c>
    </row>
    <row r="89" spans="11:14" x14ac:dyDescent="0.2">
      <c r="K89">
        <v>8.8000000000000007</v>
      </c>
      <c r="L89">
        <v>0.34565254764088982</v>
      </c>
      <c r="M89">
        <v>0.54071136559879784</v>
      </c>
      <c r="N89">
        <f t="shared" si="6"/>
        <v>0.88636391323968766</v>
      </c>
    </row>
    <row r="90" spans="11:14" x14ac:dyDescent="0.2">
      <c r="K90">
        <v>8.9</v>
      </c>
      <c r="L90">
        <v>0.3514399406091393</v>
      </c>
      <c r="M90">
        <v>0.5362007518822941</v>
      </c>
      <c r="N90">
        <f t="shared" si="6"/>
        <v>0.8876406924914334</v>
      </c>
    </row>
    <row r="91" spans="11:14" x14ac:dyDescent="0.2">
      <c r="K91">
        <v>9</v>
      </c>
      <c r="L91">
        <v>0.35714857649005011</v>
      </c>
      <c r="M91">
        <v>0.53174052600642341</v>
      </c>
      <c r="N91">
        <f t="shared" si="6"/>
        <v>0.88888910249647357</v>
      </c>
    </row>
    <row r="92" spans="11:14" x14ac:dyDescent="0.2">
      <c r="K92">
        <v>9.1</v>
      </c>
      <c r="L92">
        <v>0.36277898098885669</v>
      </c>
      <c r="M92">
        <v>0.52733109706326742</v>
      </c>
      <c r="N92">
        <f t="shared" si="6"/>
        <v>0.89011007805212405</v>
      </c>
    </row>
    <row r="93" spans="11:14" x14ac:dyDescent="0.2">
      <c r="K93">
        <v>9.1999999999999993</v>
      </c>
      <c r="L93">
        <v>0.36833175581784439</v>
      </c>
      <c r="M93">
        <v>0.52297275755389361</v>
      </c>
      <c r="N93">
        <f t="shared" si="6"/>
        <v>0.89130451337173799</v>
      </c>
    </row>
    <row r="94" spans="11:14" x14ac:dyDescent="0.2">
      <c r="K94">
        <v>9.3000000000000007</v>
      </c>
      <c r="L94">
        <v>0.37380756973131901</v>
      </c>
      <c r="M94">
        <v>0.51866569452716504</v>
      </c>
      <c r="N94">
        <f t="shared" si="6"/>
        <v>0.89247326425848406</v>
      </c>
    </row>
    <row r="95" spans="11:14" x14ac:dyDescent="0.2">
      <c r="K95">
        <v>9.4</v>
      </c>
      <c r="L95">
        <v>0.37920715033820335</v>
      </c>
      <c r="M95">
        <v>0.51440999980333646</v>
      </c>
      <c r="N95">
        <f t="shared" si="6"/>
        <v>0.89361715014153975</v>
      </c>
    </row>
    <row r="96" spans="11:14" x14ac:dyDescent="0.2">
      <c r="K96">
        <v>9.5</v>
      </c>
      <c r="L96">
        <v>0.38453127663392678</v>
      </c>
      <c r="M96">
        <v>0.51020567935073613</v>
      </c>
      <c r="N96">
        <f t="shared" si="6"/>
        <v>0.89473695598466296</v>
      </c>
    </row>
    <row r="97" spans="11:14" x14ac:dyDescent="0.2">
      <c r="K97">
        <v>9.6</v>
      </c>
      <c r="L97">
        <v>0.38978077219660306</v>
      </c>
      <c r="M97">
        <v>0.50605266187970033</v>
      </c>
      <c r="N97">
        <f t="shared" si="6"/>
        <v>0.89583343407630345</v>
      </c>
    </row>
    <row r="98" spans="11:14" x14ac:dyDescent="0.2">
      <c r="K98">
        <v>9.6999999999999993</v>
      </c>
      <c r="L98">
        <v>0.39495649899582519</v>
      </c>
      <c r="M98">
        <v>0.50195080671385739</v>
      </c>
      <c r="N98">
        <f t="shared" si="6"/>
        <v>0.89690730570968258</v>
      </c>
    </row>
    <row r="99" spans="11:14" x14ac:dyDescent="0.2">
      <c r="K99">
        <v>9.8000000000000007</v>
      </c>
      <c r="L99">
        <v>0.40005935176569157</v>
      </c>
      <c r="M99">
        <v>0.49789991099490699</v>
      </c>
      <c r="N99">
        <f t="shared" si="6"/>
        <v>0.89795926276059856</v>
      </c>
    </row>
    <row r="100" spans="11:14" x14ac:dyDescent="0.2">
      <c r="K100">
        <v>9.9</v>
      </c>
      <c r="L100">
        <v>0.4050902528968845</v>
      </c>
      <c r="M100">
        <v>0.49389971627321949</v>
      </c>
      <c r="N100">
        <f t="shared" si="6"/>
        <v>0.89898996917010399</v>
      </c>
    </row>
    <row r="101" spans="11:14" x14ac:dyDescent="0.2">
      <c r="K101">
        <v>10</v>
      </c>
      <c r="L101">
        <v>0.41005014780571863</v>
      </c>
      <c r="M101">
        <v>0.48994991453292397</v>
      </c>
      <c r="N101">
        <f t="shared" si="6"/>
        <v>0.9000000623386426</v>
      </c>
    </row>
    <row r="102" spans="11:14" x14ac:dyDescent="0.2">
      <c r="K102">
        <v>10.1</v>
      </c>
      <c r="L102">
        <v>0.41494000074105031</v>
      </c>
      <c r="M102">
        <v>0.48605015369667259</v>
      </c>
      <c r="N102">
        <f t="shared" si="6"/>
        <v>0.9009901544377229</v>
      </c>
    </row>
    <row r="103" spans="11:14" x14ac:dyDescent="0.2">
      <c r="K103">
        <v>10.199999999999999</v>
      </c>
      <c r="L103">
        <v>0.41976079099276747</v>
      </c>
      <c r="M103">
        <v>0.48220004265196775</v>
      </c>
      <c r="N103">
        <f t="shared" si="6"/>
        <v>0.90196083364473523</v>
      </c>
    </row>
    <row r="104" spans="11:14" x14ac:dyDescent="0.2">
      <c r="K104">
        <v>10.3</v>
      </c>
      <c r="L104">
        <v>0.42451350946827043</v>
      </c>
      <c r="M104">
        <v>0.47839915583782427</v>
      </c>
      <c r="N104">
        <f t="shared" si="6"/>
        <v>0.90291266530609471</v>
      </c>
    </row>
    <row r="105" spans="11:14" x14ac:dyDescent="0.2">
      <c r="K105">
        <v>10.4</v>
      </c>
      <c r="L105">
        <v>0.42919915560588051</v>
      </c>
      <c r="M105">
        <v>0.47464703742761616</v>
      </c>
      <c r="N105">
        <f t="shared" si="6"/>
        <v>0.90384619303349667</v>
      </c>
    </row>
    <row r="106" spans="11:14" x14ac:dyDescent="0.2">
      <c r="K106">
        <v>10.5</v>
      </c>
      <c r="L106">
        <v>0.43381873459650611</v>
      </c>
      <c r="M106">
        <v>0.47094320514120891</v>
      </c>
      <c r="N106">
        <f t="shared" si="6"/>
        <v>0.90476193973771502</v>
      </c>
    </row>
    <row r="107" spans="11:14" x14ac:dyDescent="0.2">
      <c r="K107">
        <v>10.6</v>
      </c>
      <c r="L107">
        <v>0.43837325488711615</v>
      </c>
      <c r="M107">
        <v>0.46728715371692414</v>
      </c>
      <c r="N107">
        <f t="shared" si="6"/>
        <v>0.90566040860404029</v>
      </c>
    </row>
    <row r="108" spans="11:14" x14ac:dyDescent="0.2">
      <c r="K108">
        <v>10.7</v>
      </c>
      <c r="L108">
        <v>0.44286372594166701</v>
      </c>
      <c r="M108">
        <v>0.46367835807148883</v>
      </c>
      <c r="N108">
        <f t="shared" si="6"/>
        <v>0.90654208401315584</v>
      </c>
    </row>
    <row r="109" spans="11:14" x14ac:dyDescent="0.2">
      <c r="K109">
        <v>10.8</v>
      </c>
      <c r="L109">
        <v>0.44729115623706789</v>
      </c>
      <c r="M109">
        <v>0.46011627617390011</v>
      </c>
      <c r="N109">
        <f t="shared" si="6"/>
        <v>0.907407432410968</v>
      </c>
    </row>
    <row r="110" spans="11:14" x14ac:dyDescent="0.2">
      <c r="K110">
        <v>10.9</v>
      </c>
      <c r="L110">
        <v>0.45165655147357436</v>
      </c>
      <c r="M110">
        <v>0.45660035165707974</v>
      </c>
      <c r="N110">
        <f t="shared" si="6"/>
        <v>0.9082569031306541</v>
      </c>
    </row>
    <row r="111" spans="11:14" x14ac:dyDescent="0.2">
      <c r="K111">
        <v>11</v>
      </c>
      <c r="L111">
        <v>0.45596091298068281</v>
      </c>
      <c r="M111">
        <v>0.45313001618927234</v>
      </c>
      <c r="N111">
        <f t="shared" si="6"/>
        <v>0.90909092916995515</v>
      </c>
    </row>
    <row r="112" spans="11:14" x14ac:dyDescent="0.2">
      <c r="K112">
        <v>11.1</v>
      </c>
      <c r="L112">
        <v>0.46020523630114613</v>
      </c>
      <c r="M112">
        <v>0.44970469162537891</v>
      </c>
      <c r="N112">
        <f t="shared" si="6"/>
        <v>0.90990992792652503</v>
      </c>
    </row>
    <row r="113" spans="11:14" x14ac:dyDescent="0.2">
      <c r="K113">
        <v>11.2</v>
      </c>
      <c r="L113">
        <v>0.46439050993716885</v>
      </c>
      <c r="M113">
        <v>0.44632379195677757</v>
      </c>
      <c r="N113">
        <f t="shared" si="6"/>
        <v>0.91071430189394642</v>
      </c>
    </row>
    <row r="114" spans="11:14" x14ac:dyDescent="0.2">
      <c r="K114">
        <v>11.3</v>
      </c>
      <c r="L114">
        <v>0.46851771424417216</v>
      </c>
      <c r="M114">
        <v>0.44298672507667186</v>
      </c>
      <c r="N114">
        <f t="shared" si="6"/>
        <v>0.91150443932084402</v>
      </c>
    </row>
    <row r="115" spans="11:14" x14ac:dyDescent="0.2">
      <c r="K115">
        <v>11.4</v>
      </c>
      <c r="L115">
        <v>0.47258782045873249</v>
      </c>
      <c r="M115">
        <v>0.43969289437661974</v>
      </c>
      <c r="N115">
        <f t="shared" si="6"/>
        <v>0.91228071483535222</v>
      </c>
    </row>
    <row r="116" spans="11:14" x14ac:dyDescent="0.2">
      <c r="K116">
        <v>11.5</v>
      </c>
      <c r="L116">
        <v>0.47660178984843721</v>
      </c>
      <c r="M116">
        <v>0.43644170018860357</v>
      </c>
      <c r="N116">
        <f t="shared" si="6"/>
        <v>0.91304349003704077</v>
      </c>
    </row>
    <row r="117" spans="11:14" x14ac:dyDescent="0.2">
      <c r="K117">
        <v>11.6</v>
      </c>
      <c r="L117">
        <v>0.48056057297243115</v>
      </c>
      <c r="M117">
        <v>0.43323254108582665</v>
      </c>
      <c r="N117">
        <f t="shared" si="6"/>
        <v>0.9137931140582578</v>
      </c>
    </row>
    <row r="118" spans="11:14" x14ac:dyDescent="0.2">
      <c r="K118">
        <v>11.7</v>
      </c>
      <c r="L118">
        <v>0.48446510904238649</v>
      </c>
      <c r="M118">
        <v>0.43006481505432748</v>
      </c>
      <c r="N118">
        <f t="shared" si="6"/>
        <v>0.91452992409671396</v>
      </c>
    </row>
    <row r="119" spans="11:14" x14ac:dyDescent="0.2">
      <c r="K119">
        <v>11.8</v>
      </c>
      <c r="L119">
        <v>0.48831632537450492</v>
      </c>
      <c r="M119">
        <v>0.42693792054650698</v>
      </c>
      <c r="N119">
        <f t="shared" si="6"/>
        <v>0.9152542459210119</v>
      </c>
    </row>
    <row r="120" spans="11:14" x14ac:dyDescent="0.2">
      <c r="K120">
        <v>11.9</v>
      </c>
      <c r="L120">
        <v>0.49211513692396974</v>
      </c>
      <c r="M120">
        <v>0.42385125742673763</v>
      </c>
      <c r="N120">
        <f t="shared" si="6"/>
        <v>0.91596639435070737</v>
      </c>
    </row>
    <row r="121" spans="11:14" x14ac:dyDescent="0.2">
      <c r="K121">
        <v>12</v>
      </c>
      <c r="L121">
        <v>0.49586244589400141</v>
      </c>
      <c r="M121">
        <v>0.42080422781838533</v>
      </c>
      <c r="N121">
        <f t="shared" si="6"/>
        <v>0.91666667371238675</v>
      </c>
    </row>
    <row r="122" spans="11:14" x14ac:dyDescent="0.2">
      <c r="K122">
        <v>12.1</v>
      </c>
      <c r="L122">
        <v>0.49955914141235486</v>
      </c>
      <c r="M122">
        <v>0.41779623686078998</v>
      </c>
      <c r="N122">
        <f t="shared" si="6"/>
        <v>0.91735537827314484</v>
      </c>
    </row>
    <row r="123" spans="11:14" x14ac:dyDescent="0.2">
      <c r="K123">
        <v>12.2</v>
      </c>
      <c r="L123">
        <v>0.50320609926871307</v>
      </c>
      <c r="M123">
        <v>0.41482669338404432</v>
      </c>
      <c r="N123">
        <f t="shared" si="6"/>
        <v>0.91803279265275739</v>
      </c>
    </row>
    <row r="124" spans="11:14" x14ac:dyDescent="0.2">
      <c r="K124">
        <v>12.3</v>
      </c>
      <c r="L124">
        <v>0.50680418170700814</v>
      </c>
      <c r="M124">
        <v>0.41189501050875277</v>
      </c>
      <c r="N124">
        <f t="shared" si="6"/>
        <v>0.91869919221576091</v>
      </c>
    </row>
    <row r="125" spans="11:14" x14ac:dyDescent="0.2">
      <c r="K125">
        <v>12.4</v>
      </c>
      <c r="L125">
        <v>0.5103542372672194</v>
      </c>
      <c r="M125">
        <v>0.40900060617735123</v>
      </c>
      <c r="N125">
        <f t="shared" si="6"/>
        <v>0.91935484344457064</v>
      </c>
    </row>
    <row r="126" spans="11:14" x14ac:dyDescent="0.2">
      <c r="K126">
        <v>12.5</v>
      </c>
      <c r="L126">
        <v>0.51385710067167878</v>
      </c>
      <c r="M126">
        <v>0.40614290362301853</v>
      </c>
      <c r="N126">
        <f t="shared" si="6"/>
        <v>0.9200000042946973</v>
      </c>
    </row>
    <row r="127" spans="11:14" x14ac:dyDescent="0.2">
      <c r="K127">
        <v>12.6</v>
      </c>
      <c r="L127">
        <v>0.51731359275135314</v>
      </c>
      <c r="M127">
        <v>0.40332133178170515</v>
      </c>
      <c r="N127">
        <f t="shared" si="6"/>
        <v>0.92063492453305829</v>
      </c>
    </row>
    <row r="128" spans="11:14" x14ac:dyDescent="0.2">
      <c r="K128">
        <v>12.7</v>
      </c>
      <c r="L128">
        <v>0.52072452040797135</v>
      </c>
      <c r="M128">
        <v>0.4005353256523394</v>
      </c>
      <c r="N128">
        <f t="shared" si="6"/>
        <v>0.92125984606031075</v>
      </c>
    </row>
    <row r="129" spans="11:14" x14ac:dyDescent="0.2">
      <c r="K129">
        <v>12.8</v>
      </c>
      <c r="L129">
        <v>0.5240906766082345</v>
      </c>
      <c r="M129">
        <v>0.39778432660984819</v>
      </c>
      <c r="N129">
        <f t="shared" si="6"/>
        <v>0.92187500321808269</v>
      </c>
    </row>
    <row r="130" spans="11:14" x14ac:dyDescent="0.2">
      <c r="K130">
        <v>12.9</v>
      </c>
      <c r="L130">
        <v>0.52741284040667946</v>
      </c>
      <c r="M130">
        <v>0.39506778267523879</v>
      </c>
      <c r="N130">
        <f t="shared" si="6"/>
        <v>0.92248062308191825</v>
      </c>
    </row>
    <row r="131" spans="11:14" x14ac:dyDescent="0.2">
      <c r="K131">
        <v>13</v>
      </c>
      <c r="L131">
        <v>0.53069177699407988</v>
      </c>
      <c r="M131">
        <v>0.392385148746628</v>
      </c>
      <c r="N131">
        <f t="shared" ref="N131:N194" si="7">SUM(L131:M131)</f>
        <v>0.92307692574070788</v>
      </c>
    </row>
    <row r="132" spans="11:14" x14ac:dyDescent="0.2">
      <c r="K132">
        <v>13.1</v>
      </c>
      <c r="L132">
        <v>0.53392823776854048</v>
      </c>
      <c r="M132">
        <v>0.38973588679478377</v>
      </c>
      <c r="N132">
        <f t="shared" si="7"/>
        <v>0.92366412456332425</v>
      </c>
    </row>
    <row r="133" spans="11:14" x14ac:dyDescent="0.2">
      <c r="K133">
        <v>13.2</v>
      </c>
      <c r="L133">
        <v>0.53712296042670304</v>
      </c>
      <c r="M133">
        <v>0.38711946602643732</v>
      </c>
      <c r="N133">
        <f t="shared" si="7"/>
        <v>0.92424242645314036</v>
      </c>
    </row>
    <row r="134" spans="11:14" x14ac:dyDescent="0.2">
      <c r="K134">
        <v>13.3</v>
      </c>
      <c r="L134">
        <v>0.54027666907271943</v>
      </c>
      <c r="M134">
        <v>0.38453536301835123</v>
      </c>
      <c r="N134">
        <f t="shared" si="7"/>
        <v>0.92481203209107066</v>
      </c>
    </row>
    <row r="135" spans="11:14" x14ac:dyDescent="0.2">
      <c r="K135">
        <v>13.4</v>
      </c>
      <c r="L135">
        <v>0.54339007434285269</v>
      </c>
      <c r="M135">
        <v>0.38198306182487807</v>
      </c>
      <c r="N135">
        <f t="shared" si="7"/>
        <v>0.92537313616773076</v>
      </c>
    </row>
    <row r="136" spans="11:14" x14ac:dyDescent="0.2">
      <c r="K136">
        <v>13.5</v>
      </c>
      <c r="L136">
        <v>0.54646387354377368</v>
      </c>
      <c r="M136">
        <v>0.37946205406150846</v>
      </c>
      <c r="N136">
        <f t="shared" si="7"/>
        <v>0.92592592760528214</v>
      </c>
    </row>
    <row r="137" spans="11:14" x14ac:dyDescent="0.2">
      <c r="K137">
        <v>13.6</v>
      </c>
      <c r="L137">
        <v>0.54949875080279031</v>
      </c>
      <c r="M137">
        <v>0.37697183896670128</v>
      </c>
      <c r="N137">
        <f t="shared" si="7"/>
        <v>0.92647058976949159</v>
      </c>
    </row>
    <row r="138" spans="11:14" x14ac:dyDescent="0.2">
      <c r="K138">
        <v>13.7</v>
      </c>
      <c r="L138">
        <v>0.55249537722841702</v>
      </c>
      <c r="M138">
        <v>0.37451192344408746</v>
      </c>
      <c r="N138">
        <f t="shared" si="7"/>
        <v>0.92700730067250448</v>
      </c>
    </row>
    <row r="139" spans="11:14" x14ac:dyDescent="0.2">
      <c r="K139">
        <v>13.8</v>
      </c>
      <c r="L139">
        <v>0.55545441107983762</v>
      </c>
      <c r="M139">
        <v>0.37208182208696639</v>
      </c>
      <c r="N139">
        <f t="shared" si="7"/>
        <v>0.927536233166804</v>
      </c>
    </row>
    <row r="140" spans="11:14" x14ac:dyDescent="0.2">
      <c r="K140">
        <v>13.9</v>
      </c>
      <c r="L140">
        <v>0.55837649794395139</v>
      </c>
      <c r="M140">
        <v>0.36968105718684796</v>
      </c>
      <c r="N140">
        <f t="shared" si="7"/>
        <v>0.92805755513079935</v>
      </c>
    </row>
    <row r="141" spans="11:14" x14ac:dyDescent="0.2">
      <c r="K141">
        <v>14</v>
      </c>
      <c r="L141">
        <v>0.56126227091881875</v>
      </c>
      <c r="M141">
        <v>0.36730915872764269</v>
      </c>
      <c r="N141">
        <f t="shared" si="7"/>
        <v>0.92857142964646144</v>
      </c>
    </row>
    <row r="142" spans="11:14" x14ac:dyDescent="0.2">
      <c r="K142">
        <v>14.1</v>
      </c>
      <c r="L142">
        <v>0.5641123508024336</v>
      </c>
      <c r="M142">
        <v>0.36496566436696642</v>
      </c>
      <c r="N142">
        <f t="shared" si="7"/>
        <v>0.92907801516940003</v>
      </c>
    </row>
    <row r="143" spans="11:14" x14ac:dyDescent="0.2">
      <c r="K143">
        <v>14.2</v>
      </c>
      <c r="L143">
        <v>0.56692734628585562</v>
      </c>
      <c r="M143">
        <v>0.36265011940590075</v>
      </c>
      <c r="N143">
        <f t="shared" si="7"/>
        <v>0.92957746569175637</v>
      </c>
    </row>
    <row r="144" spans="11:14" x14ac:dyDescent="0.2">
      <c r="K144">
        <v>14.3</v>
      </c>
      <c r="L144">
        <v>0.56970785414982816</v>
      </c>
      <c r="M144">
        <v>0.36036207674843324</v>
      </c>
      <c r="N144">
        <f t="shared" si="7"/>
        <v>0.9300699308982614</v>
      </c>
    </row>
    <row r="145" spans="11:14" x14ac:dyDescent="0.2">
      <c r="K145">
        <v>14.4</v>
      </c>
      <c r="L145">
        <v>0.57245445946409568</v>
      </c>
      <c r="M145">
        <v>0.35810109685169667</v>
      </c>
      <c r="N145">
        <f t="shared" si="7"/>
        <v>0.93055555631579234</v>
      </c>
    </row>
    <row r="146" spans="11:14" x14ac:dyDescent="0.2">
      <c r="K146">
        <v>14.5</v>
      </c>
      <c r="L146">
        <v>0.57516773578871216</v>
      </c>
      <c r="M146">
        <v>0.35586674766802973</v>
      </c>
      <c r="N146">
        <f t="shared" si="7"/>
        <v>0.93103448345674189</v>
      </c>
    </row>
    <row r="147" spans="11:14" x14ac:dyDescent="0.2">
      <c r="K147">
        <v>14.6</v>
      </c>
      <c r="L147">
        <v>0.57784824537670443</v>
      </c>
      <c r="M147">
        <v>0.35365860457979081</v>
      </c>
      <c r="N147">
        <f t="shared" si="7"/>
        <v>0.93150684995649524</v>
      </c>
    </row>
    <row r="148" spans="11:14" x14ac:dyDescent="0.2">
      <c r="K148">
        <v>14.7</v>
      </c>
      <c r="L148">
        <v>0.58049653937751766</v>
      </c>
      <c r="M148">
        <v>0.35147625032777907</v>
      </c>
      <c r="N148">
        <f t="shared" si="7"/>
        <v>0.93197278970529673</v>
      </c>
    </row>
    <row r="149" spans="11:14" x14ac:dyDescent="0.2">
      <c r="K149">
        <v>14.8</v>
      </c>
      <c r="L149">
        <v>0.58311315804073349</v>
      </c>
      <c r="M149">
        <v>0.34931927493403803</v>
      </c>
      <c r="N149">
        <f t="shared" si="7"/>
        <v>0.93243243297477152</v>
      </c>
    </row>
    <row r="150" spans="11:14" x14ac:dyDescent="0.2">
      <c r="K150">
        <v>14.9</v>
      </c>
      <c r="L150">
        <v>0.58569863091960239</v>
      </c>
      <c r="M150">
        <v>0.34718727561974938</v>
      </c>
      <c r="N150">
        <f t="shared" si="7"/>
        <v>0.93288590653935177</v>
      </c>
    </row>
    <row r="151" spans="11:14" x14ac:dyDescent="0.2">
      <c r="K151">
        <v>15</v>
      </c>
      <c r="L151">
        <v>0.58825347707398257</v>
      </c>
      <c r="M151">
        <v>0.34507985671886454</v>
      </c>
      <c r="N151">
        <f t="shared" si="7"/>
        <v>0.93333333379284711</v>
      </c>
    </row>
    <row r="152" spans="11:14" x14ac:dyDescent="0.2">
      <c r="K152">
        <v>15.1</v>
      </c>
      <c r="L152">
        <v>0.59077820527232339</v>
      </c>
      <c r="M152">
        <v>0.3429966295880591</v>
      </c>
      <c r="N152">
        <f t="shared" si="7"/>
        <v>0.93377483486038249</v>
      </c>
    </row>
    <row r="153" spans="11:14" x14ac:dyDescent="0.2">
      <c r="K153">
        <v>15.2</v>
      </c>
      <c r="L153">
        <v>0.59327331419236962</v>
      </c>
      <c r="M153">
        <v>0.34093721251354914</v>
      </c>
      <c r="N153">
        <f t="shared" si="7"/>
        <v>0.93421052670591875</v>
      </c>
    </row>
    <row r="154" spans="11:14" x14ac:dyDescent="0.2">
      <c r="K154">
        <v>15.3</v>
      </c>
      <c r="L154">
        <v>0.59573929262030445</v>
      </c>
      <c r="M154">
        <v>0.3389012306152519</v>
      </c>
      <c r="N154">
        <f t="shared" si="7"/>
        <v>0.93464052323555635</v>
      </c>
    </row>
    <row r="155" spans="11:14" x14ac:dyDescent="0.2">
      <c r="K155">
        <v>15.4</v>
      </c>
      <c r="L155">
        <v>0.59817661964807833</v>
      </c>
      <c r="M155">
        <v>0.33688831574873623</v>
      </c>
      <c r="N155">
        <f t="shared" si="7"/>
        <v>0.93506493539681457</v>
      </c>
    </row>
    <row r="156" spans="11:14" x14ac:dyDescent="0.2">
      <c r="K156">
        <v>15.5</v>
      </c>
      <c r="L156">
        <v>0.60058576486870485</v>
      </c>
      <c r="M156">
        <v>0.33489810640536266</v>
      </c>
      <c r="N156">
        <f t="shared" si="7"/>
        <v>0.93548387127406751</v>
      </c>
    </row>
    <row r="157" spans="11:14" x14ac:dyDescent="0.2">
      <c r="K157">
        <v>15.6</v>
      </c>
      <c r="L157">
        <v>0.60296718856933207</v>
      </c>
      <c r="M157">
        <v>0.33293024761097867</v>
      </c>
      <c r="N157">
        <f t="shared" si="7"/>
        <v>0.93589743618031074</v>
      </c>
    </row>
    <row r="158" spans="11:14" x14ac:dyDescent="0.2">
      <c r="K158">
        <v>15.7</v>
      </c>
      <c r="L158">
        <v>0.60532134192192011</v>
      </c>
      <c r="M158">
        <v>0.33098439082349929</v>
      </c>
      <c r="N158">
        <f t="shared" si="7"/>
        <v>0.93630573274541939</v>
      </c>
    </row>
    <row r="159" spans="11:14" x14ac:dyDescent="0.2">
      <c r="K159">
        <v>15.8</v>
      </c>
      <c r="L159">
        <v>0.60764866717138599</v>
      </c>
      <c r="M159">
        <v>0.32906019382967089</v>
      </c>
      <c r="N159">
        <f t="shared" si="7"/>
        <v>0.93670886100105688</v>
      </c>
    </row>
    <row r="160" spans="11:14" x14ac:dyDescent="0.2">
      <c r="K160">
        <v>15.9</v>
      </c>
      <c r="L160">
        <v>0.60994959782108849</v>
      </c>
      <c r="M160">
        <v>0.327157320641289</v>
      </c>
      <c r="N160">
        <f t="shared" si="7"/>
        <v>0.93710691846237748</v>
      </c>
    </row>
    <row r="161" spans="11:14" x14ac:dyDescent="0.2">
      <c r="K161">
        <v>16</v>
      </c>
      <c r="L161">
        <v>0.61222455881555093</v>
      </c>
      <c r="M161">
        <v>0.32527544139111619</v>
      </c>
      <c r="N161">
        <f t="shared" si="7"/>
        <v>0.93750000020666713</v>
      </c>
    </row>
    <row r="162" spans="11:14" x14ac:dyDescent="0.2">
      <c r="K162">
        <v>16.100000000000001</v>
      </c>
      <c r="L162">
        <v>0.61447396672033661</v>
      </c>
      <c r="M162">
        <v>0.32341423222871524</v>
      </c>
      <c r="N162">
        <f t="shared" si="7"/>
        <v>0.93788819894905184</v>
      </c>
    </row>
    <row r="163" spans="11:14" x14ac:dyDescent="0.2">
      <c r="K163">
        <v>16.2</v>
      </c>
      <c r="L163">
        <v>0.61669822989900158</v>
      </c>
      <c r="M163">
        <v>0.32157337521640239</v>
      </c>
      <c r="N163">
        <f t="shared" si="7"/>
        <v>0.93827160511540397</v>
      </c>
    </row>
    <row r="164" spans="11:14" x14ac:dyDescent="0.2">
      <c r="K164">
        <v>16.3</v>
      </c>
      <c r="L164">
        <v>0.61889774868707381</v>
      </c>
      <c r="M164">
        <v>0.31975255822548931</v>
      </c>
      <c r="N164">
        <f t="shared" si="7"/>
        <v>0.93865030691256313</v>
      </c>
    </row>
    <row r="165" spans="11:14" x14ac:dyDescent="0.2">
      <c r="K165">
        <v>16.399999999999999</v>
      </c>
      <c r="L165">
        <v>0.62107291556300603</v>
      </c>
      <c r="M165">
        <v>0.31795147483298369</v>
      </c>
      <c r="N165">
        <f t="shared" si="7"/>
        <v>0.93902439039598973</v>
      </c>
    </row>
    <row r="166" spans="11:14" x14ac:dyDescent="0.2">
      <c r="K166">
        <v>16.5</v>
      </c>
      <c r="L166">
        <v>0.62322411531607524</v>
      </c>
      <c r="M166">
        <v>0.31616982421888173</v>
      </c>
      <c r="N166">
        <f t="shared" si="7"/>
        <v>0.93939393953495698</v>
      </c>
    </row>
    <row r="167" spans="11:14" x14ac:dyDescent="0.2">
      <c r="K167">
        <v>16.600000000000001</v>
      </c>
      <c r="L167">
        <v>0.62535172521120308</v>
      </c>
      <c r="M167">
        <v>0.31440731106418485</v>
      </c>
      <c r="N167">
        <f t="shared" si="7"/>
        <v>0.93975903627538793</v>
      </c>
    </row>
    <row r="168" spans="11:14" x14ac:dyDescent="0.2">
      <c r="K168">
        <v>16.7</v>
      </c>
      <c r="L168">
        <v>0.62745611515068189</v>
      </c>
      <c r="M168">
        <v>0.31266364544975189</v>
      </c>
      <c r="N168">
        <f t="shared" si="7"/>
        <v>0.94011976060043378</v>
      </c>
    </row>
    <row r="169" spans="11:14" x14ac:dyDescent="0.2">
      <c r="K169">
        <v>16.8</v>
      </c>
      <c r="L169">
        <v>0.62953764783280408</v>
      </c>
      <c r="M169">
        <v>0.31093854275608579</v>
      </c>
      <c r="N169">
        <f t="shared" si="7"/>
        <v>0.94047619058888987</v>
      </c>
    </row>
    <row r="170" spans="11:14" x14ac:dyDescent="0.2">
      <c r="K170">
        <v>16.899999999999999</v>
      </c>
      <c r="L170">
        <v>0.6315966789073908</v>
      </c>
      <c r="M170">
        <v>0.30923172356414574</v>
      </c>
      <c r="N170">
        <f t="shared" si="7"/>
        <v>0.94082840247153654</v>
      </c>
    </row>
    <row r="171" spans="11:14" x14ac:dyDescent="0.2">
      <c r="K171">
        <v>17</v>
      </c>
      <c r="L171">
        <v>0.63363355712823455</v>
      </c>
      <c r="M171">
        <v>0.30754291355725816</v>
      </c>
      <c r="N171">
        <f t="shared" si="7"/>
        <v>0.94117647068549271</v>
      </c>
    </row>
    <row r="172" spans="11:14" x14ac:dyDescent="0.2">
      <c r="K172">
        <v>17.100000000000001</v>
      </c>
      <c r="L172">
        <v>0.63564862450246407</v>
      </c>
      <c r="M172">
        <v>0.30587184342419738</v>
      </c>
      <c r="N172">
        <f t="shared" si="7"/>
        <v>0.94152046792666144</v>
      </c>
    </row>
    <row r="173" spans="11:14" x14ac:dyDescent="0.2">
      <c r="K173">
        <v>17.2</v>
      </c>
      <c r="L173">
        <v>0.63764221643685215</v>
      </c>
      <c r="M173">
        <v>0.30421824876349435</v>
      </c>
      <c r="N173">
        <f t="shared" si="7"/>
        <v>0.9418604652003465</v>
      </c>
    </row>
    <row r="174" spans="11:14" x14ac:dyDescent="0.2">
      <c r="K174">
        <v>17.3</v>
      </c>
      <c r="L174">
        <v>0.63961466188109239</v>
      </c>
      <c r="M174">
        <v>0.30258186998902104</v>
      </c>
      <c r="N174">
        <f t="shared" si="7"/>
        <v>0.94219653187011343</v>
      </c>
    </row>
    <row r="175" spans="11:14" x14ac:dyDescent="0.2">
      <c r="K175">
        <v>17.399999999999999</v>
      </c>
      <c r="L175">
        <v>0.6415662834680691</v>
      </c>
      <c r="M175">
        <v>0.30096245223689644</v>
      </c>
      <c r="N175">
        <f t="shared" si="7"/>
        <v>0.94252873570496554</v>
      </c>
    </row>
    <row r="176" spans="11:14" x14ac:dyDescent="0.2">
      <c r="K176">
        <v>17.5</v>
      </c>
      <c r="L176">
        <v>0.64349739765115288</v>
      </c>
      <c r="M176">
        <v>0.29935974527374987</v>
      </c>
      <c r="N176">
        <f t="shared" si="7"/>
        <v>0.94285714292490275</v>
      </c>
    </row>
    <row r="177" spans="11:14" x14ac:dyDescent="0.2">
      <c r="K177">
        <v>17.600000000000001</v>
      </c>
      <c r="L177">
        <v>0.64540831483855787</v>
      </c>
      <c r="M177">
        <v>0.29777350340636921</v>
      </c>
      <c r="N177">
        <f t="shared" si="7"/>
        <v>0.94318181824492708</v>
      </c>
    </row>
    <row r="178" spans="11:14" x14ac:dyDescent="0.2">
      <c r="K178">
        <v>17.7</v>
      </c>
      <c r="L178">
        <v>0.6472993395247939</v>
      </c>
      <c r="M178">
        <v>0.29620348539276253</v>
      </c>
      <c r="N178">
        <f t="shared" si="7"/>
        <v>0.94350282491755644</v>
      </c>
    </row>
    <row r="179" spans="11:14" x14ac:dyDescent="0.2">
      <c r="K179">
        <v>17.8</v>
      </c>
      <c r="L179">
        <v>0.64917077041925719</v>
      </c>
      <c r="M179">
        <v>0.29464945435464884</v>
      </c>
      <c r="N179">
        <f t="shared" si="7"/>
        <v>0.94382022477390604</v>
      </c>
    </row>
    <row r="180" spans="11:14" x14ac:dyDescent="0.2">
      <c r="K180">
        <v>17.899999999999999</v>
      </c>
      <c r="L180">
        <v>0.65102290057199708</v>
      </c>
      <c r="M180">
        <v>0.29311117769139416</v>
      </c>
      <c r="N180">
        <f t="shared" si="7"/>
        <v>0.94413407826339124</v>
      </c>
    </row>
    <row r="181" spans="11:14" x14ac:dyDescent="0.2">
      <c r="K181">
        <v>18</v>
      </c>
      <c r="L181">
        <v>0.65285601749670563</v>
      </c>
      <c r="M181">
        <v>0.29158842699540333</v>
      </c>
      <c r="N181">
        <f t="shared" si="7"/>
        <v>0.94444444449210896</v>
      </c>
    </row>
    <row r="182" spans="11:14" x14ac:dyDescent="0.2">
      <c r="K182">
        <v>18.100000000000001</v>
      </c>
      <c r="L182">
        <v>0.65467040329096904</v>
      </c>
      <c r="M182">
        <v>0.29008097796897614</v>
      </c>
      <c r="N182">
        <f t="shared" si="7"/>
        <v>0.94475138125994518</v>
      </c>
    </row>
    <row r="183" spans="11:14" x14ac:dyDescent="0.2">
      <c r="K183">
        <v>18.2</v>
      </c>
      <c r="L183">
        <v>0.65646633475383431</v>
      </c>
      <c r="M183">
        <v>0.28858861034262573</v>
      </c>
      <c r="N183">
        <f t="shared" si="7"/>
        <v>0.94505494509646004</v>
      </c>
    </row>
    <row r="184" spans="11:14" x14ac:dyDescent="0.2">
      <c r="K184">
        <v>18.3</v>
      </c>
      <c r="L184">
        <v>0.65824408350072927</v>
      </c>
      <c r="M184">
        <v>0.28711110779486659</v>
      </c>
      <c r="N184">
        <f t="shared" si="7"/>
        <v>0.94535519129559586</v>
      </c>
    </row>
    <row r="185" spans="11:14" x14ac:dyDescent="0.2">
      <c r="K185">
        <v>18.399999999999999</v>
      </c>
      <c r="L185">
        <v>0.66000391607578912</v>
      </c>
      <c r="M185">
        <v>0.28564825787346493</v>
      </c>
      <c r="N185">
        <f t="shared" si="7"/>
        <v>0.94565217394925405</v>
      </c>
    </row>
    <row r="186" spans="11:14" x14ac:dyDescent="0.2">
      <c r="K186">
        <v>18.5</v>
      </c>
      <c r="L186">
        <v>0.66174609406163609</v>
      </c>
      <c r="M186">
        <v>0.2841998519181459</v>
      </c>
      <c r="N186">
        <f t="shared" si="7"/>
        <v>0.94594594597978199</v>
      </c>
    </row>
    <row r="187" spans="11:14" x14ac:dyDescent="0.2">
      <c r="K187">
        <v>18.600000000000001</v>
      </c>
      <c r="L187">
        <v>0.6634708741866564</v>
      </c>
      <c r="M187">
        <v>0.28276568498475674</v>
      </c>
      <c r="N187">
        <f t="shared" si="7"/>
        <v>0.94623655917141314</v>
      </c>
    </row>
    <row r="188" spans="11:14" x14ac:dyDescent="0.2">
      <c r="K188">
        <v>18.7</v>
      </c>
      <c r="L188">
        <v>0.66517850842983128</v>
      </c>
      <c r="M188">
        <v>0.28134555577086628</v>
      </c>
      <c r="N188">
        <f t="shared" si="7"/>
        <v>0.94652406420069757</v>
      </c>
    </row>
    <row r="189" spans="11:14" x14ac:dyDescent="0.2">
      <c r="K189">
        <v>18.8</v>
      </c>
      <c r="L189">
        <v>0.66686924412316018</v>
      </c>
      <c r="M189">
        <v>0.27993926654280132</v>
      </c>
      <c r="N189">
        <f t="shared" si="7"/>
        <v>0.9468085106659615</v>
      </c>
    </row>
    <row r="190" spans="11:14" x14ac:dyDescent="0.2">
      <c r="K190">
        <v>18.899999999999999</v>
      </c>
      <c r="L190">
        <v>0.66854332405173467</v>
      </c>
      <c r="M190">
        <v>0.27854662306409728</v>
      </c>
      <c r="N190">
        <f t="shared" si="7"/>
        <v>0.94708994711583194</v>
      </c>
    </row>
    <row r="191" spans="11:14" x14ac:dyDescent="0.2">
      <c r="K191">
        <v>19</v>
      </c>
      <c r="L191">
        <v>0.67020098655150417</v>
      </c>
      <c r="M191">
        <v>0.27716743452535608</v>
      </c>
      <c r="N191">
        <f t="shared" si="7"/>
        <v>0.94736842107686026</v>
      </c>
    </row>
    <row r="192" spans="11:14" x14ac:dyDescent="0.2">
      <c r="K192">
        <v>19.100000000000001</v>
      </c>
      <c r="L192">
        <v>0.67184246560478522</v>
      </c>
      <c r="M192">
        <v>0.2758015134754922</v>
      </c>
      <c r="N192">
        <f t="shared" si="7"/>
        <v>0.94764397908027742</v>
      </c>
    </row>
    <row r="193" spans="11:14" x14ac:dyDescent="0.2">
      <c r="K193">
        <v>19.2</v>
      </c>
      <c r="L193">
        <v>0.67346799093356169</v>
      </c>
      <c r="M193">
        <v>0.27444867575435317</v>
      </c>
      <c r="N193">
        <f t="shared" si="7"/>
        <v>0.94791666668791486</v>
      </c>
    </row>
    <row r="194" spans="11:14" x14ac:dyDescent="0.2">
      <c r="K194">
        <v>19.3</v>
      </c>
      <c r="L194">
        <v>0.6750777880906228</v>
      </c>
      <c r="M194">
        <v>0.27310874042669464</v>
      </c>
      <c r="N194">
        <f t="shared" si="7"/>
        <v>0.94818652851731744</v>
      </c>
    </row>
    <row r="195" spans="11:14" x14ac:dyDescent="0.2">
      <c r="K195">
        <v>19.399999999999999</v>
      </c>
      <c r="L195">
        <v>0.67667207854858713</v>
      </c>
      <c r="M195">
        <v>0.27178152971749403</v>
      </c>
      <c r="N195">
        <f t="shared" ref="N195:N201" si="8">SUM(L195:M195)</f>
        <v>0.94845360826608116</v>
      </c>
    </row>
    <row r="196" spans="11:14" x14ac:dyDescent="0.2">
      <c r="K196">
        <v>19.5</v>
      </c>
      <c r="L196">
        <v>0.67825107978685739</v>
      </c>
      <c r="M196">
        <v>0.27046686894858418</v>
      </c>
      <c r="N196">
        <f t="shared" si="8"/>
        <v>0.94871794873544157</v>
      </c>
    </row>
    <row r="197" spans="11:14" x14ac:dyDescent="0.2">
      <c r="K197">
        <v>19.600000000000001</v>
      </c>
      <c r="L197">
        <v>0.67981500537655493</v>
      </c>
      <c r="M197">
        <v>0.26916458647658503</v>
      </c>
      <c r="N197">
        <f t="shared" si="8"/>
        <v>0.94897959185313996</v>
      </c>
    </row>
    <row r="198" spans="11:14" x14ac:dyDescent="0.2">
      <c r="K198">
        <v>19.7</v>
      </c>
      <c r="L198">
        <v>0.68136406506347535</v>
      </c>
      <c r="M198">
        <v>0.26787451363211767</v>
      </c>
      <c r="N198">
        <f t="shared" si="8"/>
        <v>0.94923857869559303</v>
      </c>
    </row>
    <row r="199" spans="11:14" x14ac:dyDescent="0.2">
      <c r="K199">
        <v>19.8</v>
      </c>
      <c r="L199">
        <v>0.68289846484911576</v>
      </c>
      <c r="M199">
        <v>0.26659648466027575</v>
      </c>
      <c r="N199">
        <f t="shared" si="8"/>
        <v>0.94949494950939151</v>
      </c>
    </row>
    <row r="200" spans="11:14" x14ac:dyDescent="0.2">
      <c r="K200">
        <v>19.899999999999999</v>
      </c>
      <c r="L200">
        <v>0.68441840706981072</v>
      </c>
      <c r="M200">
        <v>0.26533033666233885</v>
      </c>
      <c r="N200">
        <f t="shared" si="8"/>
        <v>0.94974874373214957</v>
      </c>
    </row>
    <row r="201" spans="11:14" x14ac:dyDescent="0.2">
      <c r="K201">
        <v>20</v>
      </c>
      <c r="L201">
        <v>0.68592409047402747</v>
      </c>
      <c r="M201">
        <v>0.26407590953870186</v>
      </c>
      <c r="N201">
        <f t="shared" si="8"/>
        <v>0.95000000001272933</v>
      </c>
    </row>
  </sheetData>
  <conditionalFormatting sqref="N2:N201">
    <cfRule type="cellIs" dxfId="0" priority="1" operator="greaterThan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autoLine="0" r:id="rId4">
            <anchor moveWithCells="1">
              <from>
                <xdr:col>15</xdr:col>
                <xdr:colOff>28575</xdr:colOff>
                <xdr:row>1</xdr:row>
                <xdr:rowOff>38100</xdr:rowOff>
              </from>
              <to>
                <xdr:col>16</xdr:col>
                <xdr:colOff>333375</xdr:colOff>
                <xdr:row>3</xdr:row>
                <xdr:rowOff>19050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617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Analytic</vt:lpstr>
      <vt:lpstr>Chart1</vt:lpstr>
      <vt:lpstr>lambda</vt:lpstr>
      <vt:lpstr>Mu</vt:lpstr>
      <vt:lpstr>Pb</vt:lpstr>
      <vt:lpstr>Pd</vt:lpstr>
      <vt:lpstr>Theta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StarUnique</dc:creator>
  <cp:lastModifiedBy>StarUnique</cp:lastModifiedBy>
  <cp:revision>2</cp:revision>
  <dcterms:created xsi:type="dcterms:W3CDTF">2017-12-04T00:07:14Z</dcterms:created>
  <dcterms:modified xsi:type="dcterms:W3CDTF">2017-12-06T12:46:11Z</dcterms:modified>
  <dc:language>en-US</dc:language>
</cp:coreProperties>
</file>